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911fd0b0f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544bae151374977"/>
    <x:sheet xmlns:r="http://schemas.openxmlformats.org/officeDocument/2006/relationships" name="Schedule" sheetId="2" r:id="Rd01b9cb34cd140b7"/>
    <x:sheet xmlns:r="http://schemas.openxmlformats.org/officeDocument/2006/relationships" name="Budget" sheetId="3" r:id="R9cf3c8fc0aec412e"/>
    <x:sheet xmlns:r="http://schemas.openxmlformats.org/officeDocument/2006/relationships" name="RAID" sheetId="4" r:id="R4d8e7dd3db254d72"/>
    <x:sheet xmlns:r="http://schemas.openxmlformats.org/officeDocument/2006/relationships" name="Traceability" sheetId="5" r:id="R46c100c0da934349"/>
    <x:sheet xmlns:r="http://schemas.openxmlformats.org/officeDocument/2006/relationships" name="Gates" sheetId="6" r:id="R9d353937ce88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$&quot;#,##0;(&quot;$&quot;#,##0);&quot;-&quot;"/>
  </x:numFmts>
  <x:fonts count="6">
    <x:font>
      <x:sz val="11"/>
      <x:name val="Carlito"/>
    </x:font>
    <x:font>
      <x:sz val="10"/>
      <x:color rgb="FF18283F"/>
      <x:name val="Arial"/>
    </x:font>
    <x:font>
      <x:b/>
      <x:sz val="15"/>
      <x:color rgb="FF18283F"/>
      <x:name val="Arial"/>
    </x:font>
    <x:font>
      <x:b/>
      <x:sz val="10"/>
      <x:color rgb="FFFFFFFF"/>
      <x:name val="Arial"/>
    </x:font>
    <x:font>
      <x:sz val="10"/>
      <x:color rgb="FF2455AA"/>
      <x:name val="Arial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4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9231F"/>
      </x:font>
      <x:fill>
        <x:patternFill patternType="solid">
          <x:bgColor rgb="FFFD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9ba7dda1b4974" /><Relationship Type="http://schemas.openxmlformats.org/officeDocument/2006/relationships/theme" Target="/xl/theme/theme1.xml" Id="R513e3b615a7f42b5" /><Relationship Type="http://schemas.openxmlformats.org/officeDocument/2006/relationships/sharedStrings" Target="/xl/sharedStrings.xml" Id="R5cd4abe83c004781" /><Relationship Type="http://schemas.openxmlformats.org/officeDocument/2006/relationships/worksheet" Target="/xl/worksheets/sheet1.xml" Id="Rd544bae151374977" /><Relationship Type="http://schemas.openxmlformats.org/officeDocument/2006/relationships/worksheet" Target="/xl/worksheets/sheet2.xml" Id="Rd01b9cb34cd140b7" /><Relationship Type="http://schemas.openxmlformats.org/officeDocument/2006/relationships/worksheet" Target="/xl/worksheets/sheet3.xml" Id="R9cf3c8fc0aec412e" /><Relationship Type="http://schemas.openxmlformats.org/officeDocument/2006/relationships/worksheet" Target="/xl/worksheets/sheet4.xml" Id="R4d8e7dd3db254d72" /><Relationship Type="http://schemas.openxmlformats.org/officeDocument/2006/relationships/worksheet" Target="/xl/worksheets/sheet5.xml" Id="R46c100c0da934349" /><Relationship Type="http://schemas.openxmlformats.org/officeDocument/2006/relationships/worksheet" Target="/xl/worksheets/sheet6.xml" Id="R9d353937ce8845a3" /></Relationships>
</file>

<file path=xl/tables/table1.xml><?xml version="1.0" encoding="utf-8"?>
<x:table xmlns:x="http://schemas.openxmlformats.org/spreadsheetml/2006/main" id="1" name="PensionSchedule" displayName="PensionSchedule" ref="A5:F13" headerRowCount="1" totalsRowCount="0" totalsRowShown="0">
  <x:tableColumns count="6">
    <x:tableColumn id="1" name="ID"/>
    <x:tableColumn id="2" name="Milestone"/>
    <x:tableColumn id="3" name="Baseline week"/>
    <x:tableColumn id="4" name="Forecast week"/>
    <x:tableColumn id="5" name="Owner"/>
    <x:tableColumn id="6" name="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sionBudget" displayName="PensionBudget" ref="A5:F13" headerRowCount="1" totalsRowCount="0" totalsRowShown="0">
  <x:tableColumns count="6">
    <x:tableColumn id="1" name="ID"/>
    <x:tableColumn id="2" name="Workstream"/>
    <x:tableColumn id="3" name="Baseline CAD"/>
    <x:tableColumn id="4" name="Actual CAD"/>
    <x:tableColumn id="5" name="Remaining CAD"/>
    <x:tableColumn id="6" name="Forecast CA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sionRAID" displayName="PensionRAID" ref="A5:H11" headerRowCount="1" totalsRowCount="0" totalsRowShown="0">
  <x:tableColumns count="8">
    <x:tableColumn id="1" name="ID"/>
    <x:tableColumn id="2" name="Type"/>
    <x:tableColumn id="3" name="Description"/>
    <x:tableColumn id="4" name="Owner"/>
    <x:tableColumn id="5" name="Status W24"/>
    <x:tableColumn id="6" name="Action"/>
    <x:tableColumn id="7" name="Due week"/>
    <x:tableColumn id="8" name="Li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sionTraceability" displayName="PensionTraceability" ref="A5:G13" headerRowCount="1" totalsRowCount="0" totalsRowShown="0">
  <x:tableColumns count="7">
    <x:tableColumn id="1" name="Requirement"/>
    <x:tableColumn id="2" name="Acceptance criterion"/>
    <x:tableColumn id="3" name="Test"/>
    <x:tableColumn id="4" name="Owner"/>
    <x:tableColumn id="5" name="W24 result"/>
    <x:tableColumn id="6" name="W26 result"/>
    <x:tableColumn id="7" name="Illustrative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nsionGates" displayName="PensionGates" ref="A5:G11" headerRowCount="1" totalsRowCount="0" totalsRowShown="0">
  <x:tableColumns count="7">
    <x:tableColumn id="1" name="Gate"/>
    <x:tableColumn id="2" name="Criterion"/>
    <x:tableColumn id="3" name="Owner"/>
    <x:tableColumn id="4" name="W24 status"/>
    <x:tableColumn id="5" name="W26 status"/>
    <x:tableColumn id="6" name="Evidence"/>
    <x:tableColumn id="7" name="Revie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97a746dbd243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cf1ea62c4547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9461d02be341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36354da30845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89bac5144348d8" /></Relationships>
</file>

<file path=xl/worksheets/sheet1.xml><?xml version="1.0" encoding="utf-8"?>
<x:worksheet xmlns:x="http://schemas.openxmlformats.org/spreadsheetml/2006/main">
  <x:sheetPr>
    <x:tabColor rgb="FF14243B"/>
  </x:sheetPr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  <x:col min="3" max="3" width="37.779998779296875" hidden="0" customWidth="1"/>
    <x:col min="4" max="4" width="18.329999923706055" hidden="0" customWidth="1"/>
    <x:col min="5" max="5" width="18.329999923706055" hidden="0" customWidth="1"/>
  </x:cols>
  <x:sheetData>
    <x:row r="1" ht="22.5" customHeight="1">
      <x:c r="A1" s="2"/>
      <x:c r="B1" s="2"/>
      <x:c r="C1" s="2"/>
      <x:c r="D1" s="2"/>
      <x:c r="E1" s="2"/>
    </x:row>
    <x:row r="2" ht="22.5" customHeight="1">
      <x:c r="A2" s="3" t="str">
        <x:v>Pension administration review</x:v>
      </x:c>
      <x:c r="B2" s="3"/>
      <x:c r="C2" s="3"/>
      <x:c r="D2" s="3"/>
      <x:c r="E2" s="3"/>
    </x:row>
    <x:row r="3" ht="30" customHeight="1">
      <x:c r="A3" s="8" t="str">
        <x:v>Illustrative scenario. Cost snapshot W24; release evidence W26.</x:v>
      </x:c>
      <x:c r="B3" s="2"/>
      <x:c r="C3" s="2"/>
      <x:c r="D3" s="2"/>
      <x:c r="E3" s="2"/>
    </x:row>
    <x:row r="4" ht="22.5" customHeight="1">
      <x:c r="A4" s="2"/>
      <x:c r="B4" s="2"/>
      <x:c r="C4" s="2"/>
      <x:c r="D4" s="2"/>
      <x:c r="E4" s="2"/>
    </x:row>
    <x:row r="5" ht="34.5" customHeight="1">
      <x:c r="A5" s="7" t="str">
        <x:v>Metric</x:v>
      </x:c>
      <x:c r="B5" s="7" t="str">
        <x:v>Calculated result</x:v>
      </x:c>
      <x:c r="C5" s="7" t="str">
        <x:v>Basis</x:v>
      </x:c>
      <x:c r="D5" s="7"/>
      <x:c r="E5" s="7"/>
    </x:row>
    <x:row r="6" ht="39" customHeight="1">
      <x:c r="A6" s="8" t="str">
        <x:v>Funding ceiling CAD</x:v>
      </x:c>
      <x:c r="B6" s="10" t="n">
        <x:f>Budget!C14</x:f>
        <x:v>480000</x:v>
      </x:c>
      <x:c r="C6" s="8" t="str">
        <x:v>Base plus reserve</x:v>
      </x:c>
      <x:c r="D6" s="8"/>
      <x:c r="E6" s="8"/>
    </x:row>
    <x:row r="7" ht="39" customHeight="1">
      <x:c r="A7" s="8" t="str">
        <x:v>Estimated actual CAD</x:v>
      </x:c>
      <x:c r="B7" s="10" t="n">
        <x:f>Budget!D14</x:f>
        <x:v>370000</x:v>
      </x:c>
      <x:c r="C7" s="8" t="str">
        <x:v>Estimated scenario cost</x:v>
      </x:c>
      <x:c r="D7" s="8"/>
      <x:c r="E7" s="8"/>
    </x:row>
    <x:row r="8" ht="39" customHeight="1">
      <x:c r="A8" s="8" t="str">
        <x:v>Remaining forecast CAD</x:v>
      </x:c>
      <x:c r="B8" s="10" t="n">
        <x:f>Budget!E14</x:f>
        <x:v>98000</x:v>
      </x:c>
      <x:c r="C8" s="8" t="str">
        <x:v>Includes approved reserve draw once</x:v>
      </x:c>
      <x:c r="D8" s="8"/>
      <x:c r="E8" s="8"/>
    </x:row>
    <x:row r="9" ht="39" customHeight="1">
      <x:c r="A9" s="8" t="str">
        <x:v>EAC CAD</x:v>
      </x:c>
      <x:c r="B9" s="10" t="n">
        <x:f>Budget!F14</x:f>
        <x:v>468000</x:v>
      </x:c>
      <x:c r="C9" s="8" t="str">
        <x:v>Actual plus remaining</x:v>
      </x:c>
      <x:c r="D9" s="8"/>
      <x:c r="E9" s="8"/>
    </x:row>
    <x:row r="10" ht="39" customHeight="1">
      <x:c r="A10" s="8" t="str">
        <x:v>Funding headroom CAD</x:v>
      </x:c>
      <x:c r="B10" s="10" t="n">
        <x:f>IF(AND(ISNUMBER(B6),ISNUMBER(B9)),B6-B9,"Incomplete")</x:f>
        <x:v>12000</x:v>
      </x:c>
      <x:c r="C10" s="8" t="str">
        <x:v>Ceiling less EAC</x:v>
      </x:c>
      <x:c r="D10" s="8"/>
      <x:c r="E10" s="8"/>
    </x:row>
    <x:row r="11" ht="39" customHeight="1">
      <x:c r="A11" s="8" t="str">
        <x:v>Mandatory gates passed</x:v>
      </x:c>
      <x:c r="B11" s="8" t="n">
        <x:f>COUNTIF(Gates!E6:E11,"Pass")</x:f>
        <x:v>6</x:v>
      </x:c>
      <x:c r="C11" s="8" t="str">
        <x:v>W26 simulated controls</x:v>
      </x:c>
      <x:c r="D11" s="8"/>
      <x:c r="E11" s="8"/>
    </x:row>
    <x:row r="12" ht="39" customHeight="1">
      <x:c r="A12" s="8" t="str">
        <x:v>Evidence state</x:v>
      </x:c>
      <x:c r="B12" s="8" t="str">
        <x:f>IF(B11=6,"Ready for evidence review","Mandatory gates open")</x:f>
        <x:v>Ready for evidence review</x:v>
      </x:c>
      <x:c r="C12" s="8" t="str">
        <x:v>Review authentic evidence and authorization separately</x:v>
      </x:c>
      <x:c r="D12" s="8"/>
      <x:c r="E12" s="8"/>
    </x:row>
  </x:sheetData>
  <x:mergeCells>
    <x:mergeCell ref="A2:E2"/>
    <x:mergeCell ref="A3:E3"/>
  </x:mergeCells>
  <x:conditionalFormatting sqref="B10:B1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28.889999389648438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</x:row>
    <x:row r="2" ht="22.5" customHeight="1">
      <x:c r="A2" s="3" t="str">
        <x:v>Pension administration controls</x:v>
      </x:c>
      <x:c r="B2" s="3"/>
      <x:c r="C2" s="3"/>
      <x:c r="D2" s="3"/>
      <x:c r="E2" s="3"/>
      <x:c r="F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</x:row>
    <x:row r="4" ht="22.5" customHeight="1">
      <x:c r="A4" s="2"/>
      <x:c r="B4" s="2"/>
      <x:c r="C4" s="2"/>
      <x:c r="D4" s="2"/>
      <x:c r="E4" s="2"/>
      <x:c r="F4" s="2"/>
    </x:row>
    <x:row r="5" ht="34.5" customHeight="1">
      <x:c r="A5" s="7" t="str">
        <x:v>ID</x:v>
      </x:c>
      <x:c r="B5" s="7" t="str">
        <x:v>Milestone</x:v>
      </x:c>
      <x:c r="C5" s="7" t="str">
        <x:v>Baseline week</x:v>
      </x:c>
      <x:c r="D5" s="7" t="str">
        <x:v>Forecast week</x:v>
      </x:c>
      <x:c r="E5" s="7" t="str">
        <x:v>Owner</x:v>
      </x:c>
      <x:c r="F5" s="7" t="str">
        <x:v>Dependency</x:v>
      </x:c>
    </x:row>
    <x:row r="6" ht="48" customHeight="1">
      <x:c r="A6" s="8" t="str">
        <x:v>P-M01</x:v>
      </x:c>
      <x:c r="B6" s="8" t="str">
        <x:v>Charter and rules</x:v>
      </x:c>
      <x:c r="C6" s="9" t="n">
        <x:v>6</x:v>
      </x:c>
      <x:c r="D6" s="9" t="n">
        <x:v>6</x:v>
      </x:c>
      <x:c r="E6" s="8" t="str">
        <x:v>Sponsor</x:v>
      </x:c>
      <x:c r="F6" s="8" t="str"/>
    </x:row>
    <x:row r="7" ht="48" customHeight="1">
      <x:c r="A7" s="8" t="str">
        <x:v>P-M02</x:v>
      </x:c>
      <x:c r="B7" s="8" t="str">
        <x:v>Design approved</x:v>
      </x:c>
      <x:c r="C7" s="9" t="n">
        <x:v>10</x:v>
      </x:c>
      <x:c r="D7" s="9" t="n">
        <x:v>10</x:v>
      </x:c>
      <x:c r="E7" s="8" t="str">
        <x:v>Technical Lead</x:v>
      </x:c>
      <x:c r="F7" s="8" t="str">
        <x:v>P-M01</x:v>
      </x:c>
    </x:row>
    <x:row r="8" ht="48" customHeight="1">
      <x:c r="A8" s="8" t="str">
        <x:v>P-M03</x:v>
      </x:c>
      <x:c r="B8" s="8" t="str">
        <x:v>Build baseline</x:v>
      </x:c>
      <x:c r="C8" s="9" t="n">
        <x:v>20</x:v>
      </x:c>
      <x:c r="D8" s="9" t="n">
        <x:v>20</x:v>
      </x:c>
      <x:c r="E8" s="8" t="str">
        <x:v>Technical Lead</x:v>
      </x:c>
      <x:c r="F8" s="8" t="str">
        <x:v>P-M02</x:v>
      </x:c>
    </x:row>
    <x:row r="9" ht="48" customHeight="1">
      <x:c r="A9" s="8" t="str">
        <x:v>P-M04</x:v>
      </x:c>
      <x:c r="B9" s="8" t="str">
        <x:v>UAT and migration gate</x:v>
      </x:c>
      <x:c r="C9" s="9" t="n">
        <x:v>25</x:v>
      </x:c>
      <x:c r="D9" s="9" t="n">
        <x:v>26</x:v>
      </x:c>
      <x:c r="E9" s="8" t="str">
        <x:v>Business Owner</x:v>
      </x:c>
      <x:c r="F9" s="8" t="str">
        <x:v>P-M03</x:v>
      </x:c>
    </x:row>
    <x:row r="10" ht="48" customHeight="1">
      <x:c r="A10" s="8" t="str">
        <x:v>P-M05</x:v>
      </x:c>
      <x:c r="B10" s="8" t="str">
        <x:v>Pilot</x:v>
      </x:c>
      <x:c r="C10" s="9" t="n">
        <x:v>26</x:v>
      </x:c>
      <x:c r="D10" s="9" t="n">
        <x:v>27</x:v>
      </x:c>
      <x:c r="E10" s="8" t="str">
        <x:v>Sponsor</x:v>
      </x:c>
      <x:c r="F10" s="8" t="str">
        <x:v>P-M04</x:v>
      </x:c>
    </x:row>
    <x:row r="11" ht="48" customHeight="1">
      <x:c r="A11" s="8" t="str">
        <x:v>P-M06</x:v>
      </x:c>
      <x:c r="B11" s="8" t="str">
        <x:v>Expansion review</x:v>
      </x:c>
      <x:c r="C11" s="9" t="n">
        <x:v>27</x:v>
      </x:c>
      <x:c r="D11" s="9" t="n">
        <x:v>28</x:v>
      </x:c>
      <x:c r="E11" s="8" t="str">
        <x:v>Sponsor</x:v>
      </x:c>
      <x:c r="F11" s="8" t="str">
        <x:v>P-M05</x:v>
      </x:c>
    </x:row>
    <x:row r="12" ht="48" customHeight="1">
      <x:c r="A12" s="8" t="str">
        <x:v>P-M07</x:v>
      </x:c>
      <x:c r="B12" s="8" t="str">
        <x:v>Expanded access</x:v>
      </x:c>
      <x:c r="C12" s="9" t="n">
        <x:v>28</x:v>
      </x:c>
      <x:c r="D12" s="9" t="n">
        <x:v>29</x:v>
      </x:c>
      <x:c r="E12" s="8" t="str">
        <x:v>Operations Lead</x:v>
      </x:c>
      <x:c r="F12" s="8" t="str">
        <x:v>P-M06</x:v>
      </x:c>
    </x:row>
    <x:row r="13" ht="48" customHeight="1">
      <x:c r="A13" s="8" t="str">
        <x:v>P-M08</x:v>
      </x:c>
      <x:c r="B13" s="8" t="str">
        <x:v>Handover and closure</x:v>
      </x:c>
      <x:c r="C13" s="9" t="n">
        <x:v>32</x:v>
      </x:c>
      <x:c r="D13" s="9" t="n">
        <x:v>32</x:v>
      </x:c>
      <x:c r="E13" s="8" t="str">
        <x:v>Operations Lead</x:v>
      </x:c>
      <x:c r="F13" s="8" t="str">
        <x:v>P-M07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397a746dbd243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28.889999389648438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</x:row>
    <x:row r="2" ht="22.5" customHeight="1">
      <x:c r="A2" s="3" t="str">
        <x:v>Pension administration controls</x:v>
      </x:c>
      <x:c r="B2" s="3"/>
      <x:c r="C2" s="3"/>
      <x:c r="D2" s="3"/>
      <x:c r="E2" s="3"/>
      <x:c r="F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</x:row>
    <x:row r="4" ht="22.5" customHeight="1">
      <x:c r="A4" s="2"/>
      <x:c r="B4" s="2"/>
      <x:c r="C4" s="2"/>
      <x:c r="D4" s="2"/>
      <x:c r="E4" s="2"/>
      <x:c r="F4" s="2"/>
    </x:row>
    <x:row r="5" ht="34.5" customHeight="1">
      <x:c r="A5" s="7" t="str">
        <x:v>ID</x:v>
      </x:c>
      <x:c r="B5" s="7" t="str">
        <x:v>Workstream</x:v>
      </x:c>
      <x:c r="C5" s="7" t="str">
        <x:v>Baseline CAD</x:v>
      </x:c>
      <x:c r="D5" s="7" t="str">
        <x:v>Actual CAD</x:v>
      </x:c>
      <x:c r="E5" s="7" t="str">
        <x:v>Remaining CAD</x:v>
      </x:c>
      <x:c r="F5" s="7" t="str">
        <x:v>Forecast CAD</x:v>
      </x:c>
    </x:row>
    <x:row r="6" ht="48" customHeight="1">
      <x:c r="A6" s="8" t="str">
        <x:v>P-B01</x:v>
      </x:c>
      <x:c r="B6" s="8" t="str">
        <x:v>Discovery and rules</x:v>
      </x:c>
      <x:c r="C6" s="11" t="n">
        <x:v>45000</x:v>
      </x:c>
      <x:c r="D6" s="11" t="n">
        <x:v>45000</x:v>
      </x:c>
      <x:c r="E6" s="11" t="n">
        <x:v>0</x:v>
      </x:c>
      <x:c r="F6" s="10" t="n">
        <x:f>IF(COUNT(D6:E6)=2,D6+E6,"Missing cost")</x:f>
        <x:v>45000</x:v>
      </x:c>
    </x:row>
    <x:row r="7" ht="48" customHeight="1">
      <x:c r="A7" s="8" t="str">
        <x:v>P-B02</x:v>
      </x:c>
      <x:c r="B7" s="8" t="str">
        <x:v>Design</x:v>
      </x:c>
      <x:c r="C7" s="11" t="n">
        <x:v>55000</x:v>
      </x:c>
      <x:c r="D7" s="11" t="n">
        <x:v>55000</x:v>
      </x:c>
      <x:c r="E7" s="11" t="n">
        <x:v>0</x:v>
      </x:c>
      <x:c r="F7" s="10" t="n">
        <x:f>IF(COUNT(D7:E7)=2,D7+E7,"Missing cost")</x:f>
        <x:v>55000</x:v>
      </x:c>
    </x:row>
    <x:row r="8" ht="48" customHeight="1">
      <x:c r="A8" s="8" t="str">
        <x:v>P-B03</x:v>
      </x:c>
      <x:c r="B8" s="8" t="str">
        <x:v>Build and integrations</x:v>
      </x:c>
      <x:c r="C8" s="11" t="n">
        <x:v>160000</x:v>
      </x:c>
      <x:c r="D8" s="11" t="n">
        <x:v>150000</x:v>
      </x:c>
      <x:c r="E8" s="11" t="n">
        <x:v>10000</x:v>
      </x:c>
      <x:c r="F8" s="10" t="n">
        <x:f>IF(COUNT(D8:E8)=2,D8+E8,"Missing cost")</x:f>
        <x:v>160000</x:v>
      </x:c>
    </x:row>
    <x:row r="9" ht="48" customHeight="1">
      <x:c r="A9" s="8" t="str">
        <x:v>P-B04</x:v>
      </x:c>
      <x:c r="B9" s="8" t="str">
        <x:v>Migration and reconciliation</x:v>
      </x:c>
      <x:c r="C9" s="11" t="n">
        <x:v>65000</x:v>
      </x:c>
      <x:c r="D9" s="11" t="n">
        <x:v>45000</x:v>
      </x:c>
      <x:c r="E9" s="11" t="n">
        <x:v>20000</x:v>
      </x:c>
      <x:c r="F9" s="10" t="n">
        <x:f>IF(COUNT(D9:E9)=2,D9+E9,"Missing cost")</x:f>
        <x:v>65000</x:v>
      </x:c>
    </x:row>
    <x:row r="10" ht="48" customHeight="1">
      <x:c r="A10" s="8" t="str">
        <x:v>P-B05</x:v>
      </x:c>
      <x:c r="B10" s="8" t="str">
        <x:v>QA and assurance</x:v>
      </x:c>
      <x:c r="C10" s="11" t="n">
        <x:v>50000</x:v>
      </x:c>
      <x:c r="D10" s="11" t="n">
        <x:v>35000</x:v>
      </x:c>
      <x:c r="E10" s="11" t="n">
        <x:v>15000</x:v>
      </x:c>
      <x:c r="F10" s="10" t="n">
        <x:f>IF(COUNT(D10:E10)=2,D10+E10,"Missing cost")</x:f>
        <x:v>50000</x:v>
      </x:c>
    </x:row>
    <x:row r="11" ht="48" customHeight="1">
      <x:c r="A11" s="8" t="str">
        <x:v>P-B06</x:v>
      </x:c>
      <x:c r="B11" s="8" t="str">
        <x:v>Training and transition</x:v>
      </x:c>
      <x:c r="C11" s="11" t="n">
        <x:v>40000</x:v>
      </x:c>
      <x:c r="D11" s="11" t="n">
        <x:v>15000</x:v>
      </x:c>
      <x:c r="E11" s="11" t="n">
        <x:v>25000</x:v>
      </x:c>
      <x:c r="F11" s="10" t="n">
        <x:f>IF(COUNT(D11:E11)=2,D11+E11,"Missing cost")</x:f>
        <x:v>40000</x:v>
      </x:c>
    </x:row>
    <x:row r="12" ht="48" customHeight="1">
      <x:c r="A12" s="8" t="str">
        <x:v>P-B07</x:v>
      </x:c>
      <x:c r="B12" s="8" t="str">
        <x:v>Governance</x:v>
      </x:c>
      <x:c r="C12" s="11" t="n">
        <x:v>35000</x:v>
      </x:c>
      <x:c r="D12" s="11" t="n">
        <x:v>25000</x:v>
      </x:c>
      <x:c r="E12" s="11" t="n">
        <x:v>10000</x:v>
      </x:c>
      <x:c r="F12" s="10" t="n">
        <x:f>IF(COUNT(D12:E12)=2,D12+E12,"Missing cost")</x:f>
        <x:v>35000</x:v>
      </x:c>
    </x:row>
    <x:row r="13" ht="48" customHeight="1">
      <x:c r="A13" s="8" t="str">
        <x:v>P-B08</x:v>
      </x:c>
      <x:c r="B13" s="8" t="str">
        <x:v>Contingency</x:v>
      </x:c>
      <x:c r="C13" s="11" t="n">
        <x:v>30000</x:v>
      </x:c>
      <x:c r="D13" s="11" t="n">
        <x:v>0</x:v>
      </x:c>
      <x:c r="E13" s="11" t="n">
        <x:v>18000</x:v>
      </x:c>
      <x:c r="F13" s="10" t="n">
        <x:f>IF(COUNT(D13:E13)=2,D13+E13,"Missing cost")</x:f>
        <x:v>18000</x:v>
      </x:c>
    </x:row>
    <x:row r="14">
      <x:c r="B14" s="13" t="str">
        <x:v>Total</x:v>
      </x:c>
      <x:c r="C14" s="14" t="n">
        <x:f>IF(COUNT(C6:C13)=8,SUM(C6:C13),"Missing cost")</x:f>
        <x:v>480000</x:v>
      </x:c>
      <x:c r="D14" s="14" t="n">
        <x:f>IF(COUNT(D6:D13)=8,SUM(D6:D13),"Missing cost")</x:f>
        <x:v>370000</x:v>
      </x:c>
      <x:c r="E14" s="14" t="n">
        <x:f>IF(COUNT(E6:E13)=8,SUM(E6:E13),"Missing cost")</x:f>
        <x:v>98000</x:v>
      </x:c>
      <x:c r="F14" s="14" t="n">
        <x:f>IF(COUNT(F6:F13)=8,SUM(F6:F13),"Missing cost")</x:f>
        <x:v>468000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7cf1ea62c4547c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18.329999923706055" hidden="0" customWidth="1"/>
    <x:col min="3" max="3" width="28.889999389648438" hidden="0" customWidth="1"/>
    <x:col min="4" max="4" width="18.329999923706055" hidden="0" customWidth="1"/>
    <x:col min="5" max="5" width="18.329999923706055" hidden="0" customWidth="1"/>
    <x:col min="6" max="6" width="28.889999389648438" hidden="0" customWidth="1"/>
    <x:col min="7" max="7" width="18.329999923706055" hidden="0" customWidth="1"/>
    <x:col min="8" max="8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  <x:c r="H1" s="2"/>
    </x:row>
    <x:row r="2" ht="22.5" customHeight="1">
      <x:c r="A2" s="3" t="str">
        <x:v>Pension administration controls</x:v>
      </x:c>
      <x:c r="B2" s="3"/>
      <x:c r="C2" s="3"/>
      <x:c r="D2" s="3"/>
      <x:c r="E2" s="3"/>
      <x:c r="F2" s="3"/>
      <x:c r="G2" s="3"/>
      <x:c r="H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  <x:c r="G3" s="2"/>
      <x:c r="H3" s="2"/>
    </x:row>
    <x:row r="4" ht="22.5" customHeight="1">
      <x:c r="A4" s="2"/>
      <x:c r="B4" s="2"/>
      <x:c r="C4" s="2"/>
      <x:c r="D4" s="2"/>
      <x:c r="E4" s="2"/>
      <x:c r="F4" s="2"/>
      <x:c r="G4" s="2"/>
      <x:c r="H4" s="2"/>
    </x:row>
    <x:row r="5" ht="34.5" customHeight="1">
      <x:c r="A5" s="7" t="str">
        <x:v>ID</x:v>
      </x:c>
      <x:c r="B5" s="7" t="str">
        <x:v>Type</x:v>
      </x:c>
      <x:c r="C5" s="7" t="str">
        <x:v>Description</x:v>
      </x:c>
      <x:c r="D5" s="7" t="str">
        <x:v>Owner</x:v>
      </x:c>
      <x:c r="E5" s="7" t="str">
        <x:v>Status W24</x:v>
      </x:c>
      <x:c r="F5" s="7" t="str">
        <x:v>Action</x:v>
      </x:c>
      <x:c r="G5" s="7" t="str">
        <x:v>Due week</x:v>
      </x:c>
      <x:c r="H5" s="7" t="str">
        <x:v>Link</x:v>
      </x:c>
    </x:row>
    <x:row r="6" ht="48" customHeight="1">
      <x:c r="A6" s="8" t="str">
        <x:v>R-P01</x:v>
      </x:c>
      <x:c r="B6" s="8" t="str">
        <x:v>Risk</x:v>
      </x:c>
      <x:c r="C6" s="8" t="str">
        <x:v>Incorrect identity linkage</x:v>
      </x:c>
      <x:c r="D6" s="8" t="str">
        <x:v>Data Lead</x:v>
      </x:c>
      <x:c r="E6" s="8" t="str">
        <x:v>Materialized</x:v>
      </x:c>
      <x:c r="F6" s="8" t="str">
        <x:v>Profile keys and reconcile</x:v>
      </x:c>
      <x:c r="G6" s="9" t="n">
        <x:v>26</x:v>
      </x:c>
      <x:c r="H6" s="8" t="str">
        <x:v>I-P01</x:v>
      </x:c>
    </x:row>
    <x:row r="7" ht="48" customHeight="1">
      <x:c r="A7" s="8" t="str">
        <x:v>I-P01</x:v>
      </x:c>
      <x:c r="B7" s="8" t="str">
        <x:v>Issue</x:v>
      </x:c>
      <x:c r="C7" s="8" t="str">
        <x:v>Rehearsal mislinks service history</x:v>
      </x:c>
      <x:c r="D7" s="8" t="str">
        <x:v>Data Lead</x:v>
      </x:c>
      <x:c r="E7" s="8" t="str">
        <x:v>Open P1</x:v>
      </x:c>
      <x:c r="F7" s="8" t="str">
        <x:v>Freeze output; correct; retest</x:v>
      </x:c>
      <x:c r="G7" s="9" t="n">
        <x:v>26</x:v>
      </x:c>
      <x:c r="H7" s="8" t="str">
        <x:v>CR-P01</x:v>
      </x:c>
    </x:row>
    <x:row r="8" ht="48" customHeight="1">
      <x:c r="A8" s="8" t="str">
        <x:v>R-P02</x:v>
      </x:c>
      <x:c r="B8" s="8" t="str">
        <x:v>Risk</x:v>
      </x:c>
      <x:c r="C8" s="8" t="str">
        <x:v>Unapproved eligibility interpretation</x:v>
      </x:c>
      <x:c r="D8" s="8" t="str">
        <x:v>Business Owner</x:v>
      </x:c>
      <x:c r="E8" s="8" t="str">
        <x:v>Mitigating</x:v>
      </x:c>
      <x:c r="F8" s="8" t="str">
        <x:v>Policy-owner boundary examples</x:v>
      </x:c>
      <x:c r="G8" s="9" t="n">
        <x:v>10</x:v>
      </x:c>
      <x:c r="H8" s="8" t="str">
        <x:v>PEN-03</x:v>
      </x:c>
    </x:row>
    <x:row r="9" ht="48" customHeight="1">
      <x:c r="A9" s="8" t="str">
        <x:v>R-P03</x:v>
      </x:c>
      <x:c r="B9" s="8" t="str">
        <x:v>Risk</x:v>
      </x:c>
      <x:c r="C9" s="8" t="str">
        <x:v>Inadequate role separation</x:v>
      </x:c>
      <x:c r="D9" s="8" t="str">
        <x:v>Technical Lead</x:v>
      </x:c>
      <x:c r="E9" s="8" t="str">
        <x:v>Mitigating</x:v>
      </x:c>
      <x:c r="F9" s="8" t="str">
        <x:v>Negative approval and access tests</x:v>
      </x:c>
      <x:c r="G9" s="9" t="n">
        <x:v>26</x:v>
      </x:c>
      <x:c r="H9" s="8" t="str">
        <x:v>PEN-04</x:v>
      </x:c>
    </x:row>
    <x:row r="10" ht="48" customHeight="1">
      <x:c r="A10" s="8" t="str">
        <x:v>A-P01</x:v>
      </x:c>
      <x:c r="B10" s="8" t="str">
        <x:v>Assumption</x:v>
      </x:c>
      <x:c r="C10" s="8" t="str">
        <x:v>Policy SMEs available for acceptance</x:v>
      </x:c>
      <x:c r="D10" s="8" t="str">
        <x:v>Business Owner</x:v>
      </x:c>
      <x:c r="E10" s="8" t="str">
        <x:v>Confirmed</x:v>
      </x:c>
      <x:c r="F10" s="8" t="str">
        <x:v>Reserve alternates</x:v>
      </x:c>
      <x:c r="G10" s="9" t="n">
        <x:v>23</x:v>
      </x:c>
      <x:c r="H10" s="8" t="str">
        <x:v>P-M04</x:v>
      </x:c>
    </x:row>
    <x:row r="11" ht="48" customHeight="1">
      <x:c r="A11" s="8" t="str">
        <x:v>D-P01</x:v>
      </x:c>
      <x:c r="B11" s="8" t="str">
        <x:v>Dependency</x:v>
      </x:c>
      <x:c r="C11" s="8" t="str">
        <x:v>Signed source-to-target map</x:v>
      </x:c>
      <x:c r="D11" s="8" t="str">
        <x:v>Finance Controller</x:v>
      </x:c>
      <x:c r="E11" s="8" t="str">
        <x:v>At risk</x:v>
      </x:c>
      <x:c r="F11" s="8" t="str">
        <x:v>Independent reconciliation</x:v>
      </x:c>
      <x:c r="G11" s="9" t="n">
        <x:v>26</x:v>
      </x:c>
      <x:c r="H11" s="8" t="str">
        <x:v>P-G02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09461d02be3417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28.889999389648438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</x:row>
    <x:row r="2" ht="22.5" customHeight="1">
      <x:c r="A2" s="3" t="str">
        <x:v>Pension administration controls</x:v>
      </x:c>
      <x:c r="B2" s="3"/>
      <x:c r="C2" s="3"/>
      <x:c r="D2" s="3"/>
      <x:c r="E2" s="3"/>
      <x:c r="F2" s="3"/>
      <x:c r="G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  <x:c r="G3" s="2"/>
    </x:row>
    <x:row r="4" ht="22.5" customHeight="1">
      <x:c r="A4" s="2"/>
      <x:c r="B4" s="2"/>
      <x:c r="C4" s="2"/>
      <x:c r="D4" s="2"/>
      <x:c r="E4" s="2"/>
      <x:c r="F4" s="2"/>
      <x:c r="G4" s="2"/>
    </x:row>
    <x:row r="5" ht="34.5" customHeight="1">
      <x:c r="A5" s="7" t="str">
        <x:v>Requirement</x:v>
      </x:c>
      <x:c r="B5" s="7" t="str">
        <x:v>Acceptance criterion</x:v>
      </x:c>
      <x:c r="C5" s="7" t="str">
        <x:v>Test</x:v>
      </x:c>
      <x:c r="D5" s="7" t="str">
        <x:v>Owner</x:v>
      </x:c>
      <x:c r="E5" s="7" t="str">
        <x:v>W24 result</x:v>
      </x:c>
      <x:c r="F5" s="7" t="str">
        <x:v>W26 result</x:v>
      </x:c>
      <x:c r="G5" s="7" t="str">
        <x:v>Illustrative evidence</x:v>
      </x:c>
    </x:row>
    <x:row r="6" ht="48" customHeight="1">
      <x:c r="A6" s="8" t="str">
        <x:v>PEN-01</x:v>
      </x:c>
      <x:c r="B6" s="8" t="str">
        <x:v>Duplicate identity rejected</x:v>
      </x:c>
      <x:c r="C6" s="8" t="str">
        <x:v>T-P01</x:v>
      </x:c>
      <x:c r="D6" s="8" t="str">
        <x:v>Business Owner</x:v>
      </x:c>
      <x:c r="E6" s="8" t="str">
        <x:v>Pass</x:v>
      </x:c>
      <x:c r="F6" s="8" t="str">
        <x:v>Pass</x:v>
      </x:c>
      <x:c r="G6" s="8" t="str">
        <x:v>SIM-P-T01</x:v>
      </x:c>
    </x:row>
    <x:row r="7" ht="48" customHeight="1">
      <x:c r="A7" s="8" t="str">
        <x:v>PEN-02</x:v>
      </x:c>
      <x:c r="B7" s="8" t="str">
        <x:v>Invalid service dates rejected</x:v>
      </x:c>
      <x:c r="C7" s="8" t="str">
        <x:v>T-P02</x:v>
      </x:c>
      <x:c r="D7" s="8" t="str">
        <x:v>Business Owner</x:v>
      </x:c>
      <x:c r="E7" s="8" t="str">
        <x:v>Pass</x:v>
      </x:c>
      <x:c r="F7" s="8" t="str">
        <x:v>Pass</x:v>
      </x:c>
      <x:c r="G7" s="8" t="str">
        <x:v>SIM-P-T02</x:v>
      </x:c>
    </x:row>
    <x:row r="8" ht="48" customHeight="1">
      <x:c r="A8" s="8" t="str">
        <x:v>PEN-03</x:v>
      </x:c>
      <x:c r="B8" s="8" t="str">
        <x:v>Calculation boundary examples correct</x:v>
      </x:c>
      <x:c r="C8" s="8" t="str">
        <x:v>T-P03</x:v>
      </x:c>
      <x:c r="D8" s="8" t="str">
        <x:v>Finance Controller</x:v>
      </x:c>
      <x:c r="E8" s="8" t="str">
        <x:v>Blocked</x:v>
      </x:c>
      <x:c r="F8" s="8" t="str">
        <x:v>Pass</x:v>
      </x:c>
      <x:c r="G8" s="8" t="str">
        <x:v>SIM-P-T03</x:v>
      </x:c>
    </x:row>
    <x:row r="9" ht="48" customHeight="1">
      <x:c r="A9" s="8" t="str">
        <x:v>PEN-04</x:v>
      </x:c>
      <x:c r="B9" s="8" t="str">
        <x:v>Originator cannot approve own item</x:v>
      </x:c>
      <x:c r="C9" s="8" t="str">
        <x:v>T-P04</x:v>
      </x:c>
      <x:c r="D9" s="8" t="str">
        <x:v>Finance Controller</x:v>
      </x:c>
      <x:c r="E9" s="8" t="str">
        <x:v>Pass</x:v>
      </x:c>
      <x:c r="F9" s="8" t="str">
        <x:v>Pass</x:v>
      </x:c>
      <x:c r="G9" s="8" t="str">
        <x:v>SIM-P-T04</x:v>
      </x:c>
    </x:row>
    <x:row r="10" ht="48" customHeight="1">
      <x:c r="A10" s="8" t="str">
        <x:v>PEN-05</x:v>
      </x:c>
      <x:c r="B10" s="8" t="str">
        <x:v>Unauthorized access denied and audited</x:v>
      </x:c>
      <x:c r="C10" s="8" t="str">
        <x:v>T-P05</x:v>
      </x:c>
      <x:c r="D10" s="8" t="str">
        <x:v>Technical Lead</x:v>
      </x:c>
      <x:c r="E10" s="8" t="str">
        <x:v>Pass</x:v>
      </x:c>
      <x:c r="F10" s="8" t="str">
        <x:v>Pass</x:v>
      </x:c>
      <x:c r="G10" s="8" t="str">
        <x:v>SIM-P-T05</x:v>
      </x:c>
    </x:row>
    <x:row r="11" ht="48" customHeight="1">
      <x:c r="A11" s="8" t="str">
        <x:v>PEN-06</x:v>
      </x:c>
      <x:c r="B11" s="8" t="str">
        <x:v>Source accepted and quarantined balance</x:v>
      </x:c>
      <x:c r="C11" s="8" t="str">
        <x:v>T-P06</x:v>
      </x:c>
      <x:c r="D11" s="8" t="str">
        <x:v>Data Lead</x:v>
      </x:c>
      <x:c r="E11" s="8" t="str">
        <x:v>Fail</x:v>
      </x:c>
      <x:c r="F11" s="8" t="str">
        <x:v>Pass</x:v>
      </x:c>
      <x:c r="G11" s="8" t="str">
        <x:v>SIM-P-T06</x:v>
      </x:c>
    </x:row>
    <x:row r="12" ht="48" customHeight="1">
      <x:c r="A12" s="8" t="str">
        <x:v>PEN-07</x:v>
      </x:c>
      <x:c r="B12" s="8" t="str">
        <x:v>Replayed status does not duplicate item</x:v>
      </x:c>
      <x:c r="C12" s="8" t="str">
        <x:v>T-P07</x:v>
      </x:c>
      <x:c r="D12" s="8" t="str">
        <x:v>Technical Lead</x:v>
      </x:c>
      <x:c r="E12" s="8" t="str">
        <x:v>Pass</x:v>
      </x:c>
      <x:c r="F12" s="8" t="str">
        <x:v>Pass</x:v>
      </x:c>
      <x:c r="G12" s="8" t="str">
        <x:v>SIM-P-T07</x:v>
      </x:c>
    </x:row>
    <x:row r="13" ht="48" customHeight="1">
      <x:c r="A13" s="8" t="str">
        <x:v>PEN-08</x:v>
      </x:c>
      <x:c r="B13" s="8" t="str">
        <x:v>Reports reconcile to accepted records</x:v>
      </x:c>
      <x:c r="C13" s="8" t="str">
        <x:v>T-P08</x:v>
      </x:c>
      <x:c r="D13" s="8" t="str">
        <x:v>Finance Controller</x:v>
      </x:c>
      <x:c r="E13" s="8" t="str">
        <x:v>Blocked</x:v>
      </x:c>
      <x:c r="F13" s="8" t="str">
        <x:v>Pass</x:v>
      </x:c>
      <x:c r="G13" s="8" t="str">
        <x:v>SIM-P-T08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a36354da30845c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109999656677246" hidden="0" customWidth="1"/>
    <x:col min="2" max="2" width="28.889999389648438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</x:cols>
  <x:sheetData>
    <x:row r="1" ht="22.5" customHeight="1">
      <x:c r="A1" s="2"/>
      <x:c r="B1" s="2"/>
      <x:c r="C1" s="2"/>
      <x:c r="D1" s="2"/>
      <x:c r="E1" s="2"/>
      <x:c r="F1" s="2"/>
      <x:c r="G1" s="2"/>
    </x:row>
    <x:row r="2" ht="22.5" customHeight="1">
      <x:c r="A2" s="3" t="str">
        <x:v>Pension administration controls</x:v>
      </x:c>
      <x:c r="B2" s="3"/>
      <x:c r="C2" s="3"/>
      <x:c r="D2" s="3"/>
      <x:c r="E2" s="3"/>
      <x:c r="F2" s="3"/>
      <x:c r="G2" s="3"/>
    </x:row>
    <x:row r="3" ht="30" customHeight="1">
      <x:c r="A3" s="8" t="str">
        <x:v>Illustrative reconstruction. All figures and evidence references are fictional.</x:v>
      </x:c>
      <x:c r="B3" s="2"/>
      <x:c r="C3" s="2"/>
      <x:c r="D3" s="2"/>
      <x:c r="E3" s="2"/>
      <x:c r="F3" s="2"/>
      <x:c r="G3" s="2"/>
    </x:row>
    <x:row r="4" ht="22.5" customHeight="1">
      <x:c r="A4" s="2"/>
      <x:c r="B4" s="2"/>
      <x:c r="C4" s="2"/>
      <x:c r="D4" s="2"/>
      <x:c r="E4" s="2"/>
      <x:c r="F4" s="2"/>
      <x:c r="G4" s="2"/>
    </x:row>
    <x:row r="5" ht="34.5" customHeight="1">
      <x:c r="A5" s="7" t="str">
        <x:v>Gate</x:v>
      </x:c>
      <x:c r="B5" s="7" t="str">
        <x:v>Criterion</x:v>
      </x:c>
      <x:c r="C5" s="7" t="str">
        <x:v>Owner</x:v>
      </x:c>
      <x:c r="D5" s="7" t="str">
        <x:v>W24 status</x:v>
      </x:c>
      <x:c r="E5" s="7" t="str">
        <x:v>W26 status</x:v>
      </x:c>
      <x:c r="F5" s="7" t="str">
        <x:v>Evidence</x:v>
      </x:c>
      <x:c r="G5" s="7" t="str">
        <x:v>Reviewer</x:v>
      </x:c>
    </x:row>
    <x:row r="6" ht="48" customHeight="1">
      <x:c r="A6" s="8" t="str">
        <x:v>P-G01</x:v>
      </x:c>
      <x:c r="B6" s="8" t="str">
        <x:v>UAT &gt;=95%; Must pass; zero P0/P1</x:v>
      </x:c>
      <x:c r="C6" s="8" t="str">
        <x:v>QA Lead</x:v>
      </x:c>
      <x:c r="D6" s="8" t="str">
        <x:v>Fail</x:v>
      </x:c>
      <x:c r="E6" s="8" t="str">
        <x:v>Pass</x:v>
      </x:c>
      <x:c r="F6" s="8" t="str">
        <x:v>SIM-P-UAT-W26</x:v>
      </x:c>
      <x:c r="G6" s="8" t="str">
        <x:v>Business Owner</x:v>
      </x:c>
    </x:row>
    <x:row r="7" ht="48" customHeight="1">
      <x:c r="A7" s="8" t="str">
        <x:v>P-G02</x:v>
      </x:c>
      <x:c r="B7" s="8" t="str">
        <x:v>Counts and values reconcile</x:v>
      </x:c>
      <x:c r="C7" s="8" t="str">
        <x:v>Data Lead</x:v>
      </x:c>
      <x:c r="D7" s="8" t="str">
        <x:v>Fail</x:v>
      </x:c>
      <x:c r="E7" s="8" t="str">
        <x:v>Pass</x:v>
      </x:c>
      <x:c r="F7" s="8" t="str">
        <x:v>SIM-P-RECON-W26</x:v>
      </x:c>
      <x:c r="G7" s="8" t="str">
        <x:v>Finance Controller</x:v>
      </x:c>
    </x:row>
    <x:row r="8" ht="48" customHeight="1">
      <x:c r="A8" s="8" t="str">
        <x:v>P-G03</x:v>
      </x:c>
      <x:c r="B8" s="8" t="str">
        <x:v>Access and maker-checker verified</x:v>
      </x:c>
      <x:c r="C8" s="8" t="str">
        <x:v>Technical Lead</x:v>
      </x:c>
      <x:c r="D8" s="8" t="str">
        <x:v>Pass</x:v>
      </x:c>
      <x:c r="E8" s="8" t="str">
        <x:v>Pass</x:v>
      </x:c>
      <x:c r="F8" s="8" t="str">
        <x:v>SIM-P-ACCESS</x:v>
      </x:c>
      <x:c r="G8" s="8" t="str">
        <x:v>QA Lead</x:v>
      </x:c>
    </x:row>
    <x:row r="9" ht="48" customHeight="1">
      <x:c r="A9" s="8" t="str">
        <x:v>P-G04</x:v>
      </x:c>
      <x:c r="B9" s="8" t="str">
        <x:v>Training &gt;=90% and critical-role cover</x:v>
      </x:c>
      <x:c r="C9" s="8" t="str">
        <x:v>Change Lead</x:v>
      </x:c>
      <x:c r="D9" s="8" t="str">
        <x:v>Pending</x:v>
      </x:c>
      <x:c r="E9" s="8" t="str">
        <x:v>Pass</x:v>
      </x:c>
      <x:c r="F9" s="8" t="str">
        <x:v>SIM-P-TRAIN</x:v>
      </x:c>
      <x:c r="G9" s="8" t="str">
        <x:v>Business Owner</x:v>
      </x:c>
    </x:row>
    <x:row r="10" ht="48" customHeight="1">
      <x:c r="A10" s="8" t="str">
        <x:v>P-G05</x:v>
      </x:c>
      <x:c r="B10" s="8" t="str">
        <x:v>Runbook restore and support accepted</x:v>
      </x:c>
      <x:c r="C10" s="8" t="str">
        <x:v>Operations Lead</x:v>
      </x:c>
      <x:c r="D10" s="8" t="str">
        <x:v>Pending</x:v>
      </x:c>
      <x:c r="E10" s="8" t="str">
        <x:v>Pass</x:v>
      </x:c>
      <x:c r="F10" s="8" t="str">
        <x:v>SIM-P-OPS</x:v>
      </x:c>
      <x:c r="G10" s="8" t="str">
        <x:v>Operations Lead</x:v>
      </x:c>
    </x:row>
    <x:row r="11" ht="48" customHeight="1">
      <x:c r="A11" s="8" t="str">
        <x:v>P-G06</x:v>
      </x:c>
      <x:c r="B11" s="8" t="str">
        <x:v>Pilot decision recorded</x:v>
      </x:c>
      <x:c r="C11" s="8" t="str">
        <x:v>PM</x:v>
      </x:c>
      <x:c r="D11" s="8" t="str">
        <x:v>Pending</x:v>
      </x:c>
      <x:c r="E11" s="8" t="str">
        <x:v>Pass</x:v>
      </x:c>
      <x:c r="F11" s="8" t="str">
        <x:v>DEC-P02</x:v>
      </x:c>
      <x:c r="G11" s="8" t="str">
        <x:v>Sponsor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589bac5144348d8"/>
  </x:tableParts>
</x:worksheet>
</file>