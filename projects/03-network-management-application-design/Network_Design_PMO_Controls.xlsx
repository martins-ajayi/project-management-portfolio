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b53f04a74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6be5b67c8f3433b"/>
    <x:sheet xmlns:r="http://schemas.openxmlformats.org/officeDocument/2006/relationships" name="Schedule" sheetId="2" r:id="R0dfdd1a7f02d46eb"/>
    <x:sheet xmlns:r="http://schemas.openxmlformats.org/officeDocument/2006/relationships" name="Budget" sheetId="3" r:id="R2eeea4a5993242f9"/>
    <x:sheet xmlns:r="http://schemas.openxmlformats.org/officeDocument/2006/relationships" name="Backlog" sheetId="4" r:id="R61d9b608ee6345b1"/>
    <x:sheet xmlns:r="http://schemas.openxmlformats.org/officeDocument/2006/relationships" name="Research" sheetId="5" r:id="Rad4bff44b80f463d"/>
    <x:sheet xmlns:r="http://schemas.openxmlformats.org/officeDocument/2006/relationships" name="Gates" sheetId="6" r:id="Ra80927a781ee4b45"/>
    <x:sheet xmlns:r="http://schemas.openxmlformats.org/officeDocument/2006/relationships" name="RAID" sheetId="7" r:id="Re935d1c4fd5b49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$&quot;#,##0;(&quot;$&quot;#,##0);&quot;-&quot;"/>
    <x:numFmt numFmtId="202" formatCode="0.0%"/>
  </x:numFmts>
  <x:fonts count="6">
    <x:font>
      <x:sz val="11"/>
      <x:name val="Carlito"/>
    </x:font>
    <x:font>
      <x:sz val="10"/>
      <x:color rgb="FF18283F"/>
      <x:name val="Arial"/>
    </x:font>
    <x:font>
      <x:b/>
      <x:sz val="15"/>
      <x:color rgb="FF18283F"/>
      <x:name val="Arial"/>
    </x:font>
    <x:font>
      <x:b/>
      <x:sz val="10"/>
      <x:color rgb="FFFFFFFF"/>
      <x:name val="Arial"/>
    </x:font>
    <x:font>
      <x:sz val="10"/>
      <x:color rgb="FF2455AA"/>
      <x:name val="Arial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43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A9231F"/>
      </x:font>
      <x:fill>
        <x:patternFill patternType="solid">
          <x:bgColor rgb="FFFDE8E5"/>
        </x:patternFill>
      </x:fill>
    </x:dxf>
    <x:dxf>
      <x:font>
        <x:b/>
        <x:color rgb="FFA9231F"/>
      </x:font>
      <x:fill>
        <x:patternFill patternType="solid">
          <x:bgColor rgb="FFFDE8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72b890d794404" /><Relationship Type="http://schemas.openxmlformats.org/officeDocument/2006/relationships/theme" Target="/xl/theme/theme1.xml" Id="R52982c0699884d9b" /><Relationship Type="http://schemas.openxmlformats.org/officeDocument/2006/relationships/sharedStrings" Target="/xl/sharedStrings.xml" Id="Rbeaa5eb240b24ff9" /><Relationship Type="http://schemas.openxmlformats.org/officeDocument/2006/relationships/worksheet" Target="/xl/worksheets/sheet1.xml" Id="Rd6be5b67c8f3433b" /><Relationship Type="http://schemas.openxmlformats.org/officeDocument/2006/relationships/worksheet" Target="/xl/worksheets/sheet2.xml" Id="R0dfdd1a7f02d46eb" /><Relationship Type="http://schemas.openxmlformats.org/officeDocument/2006/relationships/worksheet" Target="/xl/worksheets/sheet3.xml" Id="R2eeea4a5993242f9" /><Relationship Type="http://schemas.openxmlformats.org/officeDocument/2006/relationships/worksheet" Target="/xl/worksheets/sheet4.xml" Id="R61d9b608ee6345b1" /><Relationship Type="http://schemas.openxmlformats.org/officeDocument/2006/relationships/worksheet" Target="/xl/worksheets/sheet5.xml" Id="Rad4bff44b80f463d" /><Relationship Type="http://schemas.openxmlformats.org/officeDocument/2006/relationships/worksheet" Target="/xl/worksheets/sheet6.xml" Id="Ra80927a781ee4b45" /><Relationship Type="http://schemas.openxmlformats.org/officeDocument/2006/relationships/worksheet" Target="/xl/worksheets/sheet7.xml" Id="Re935d1c4fd5b4945" /></Relationships>
</file>

<file path=xl/tables/table1.xml><?xml version="1.0" encoding="utf-8"?>
<x:table xmlns:x="http://schemas.openxmlformats.org/spreadsheetml/2006/main" id="1" name="NetworkSchedule" displayName="NetworkSchedule" ref="A5:F11" headerRowCount="1" totalsRowCount="0" totalsRowShown="0">
  <x:tableColumns count="6">
    <x:tableColumn id="1" name="ID"/>
    <x:tableColumn id="2" name="Milestone"/>
    <x:tableColumn id="3" name="Baseline week"/>
    <x:tableColumn id="4" name="Forecast week"/>
    <x:tableColumn id="5" name="Owner"/>
    <x:tableColumn id="6" name="Dependen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tworkBudget" displayName="NetworkBudget" ref="A5:F11" headerRowCount="1" totalsRowCount="0" totalsRowShown="0">
  <x:tableColumns count="6">
    <x:tableColumn id="1" name="ID"/>
    <x:tableColumn id="2" name="Workstream"/>
    <x:tableColumn id="3" name="Baseline CAD"/>
    <x:tableColumn id="4" name="Actual CAD"/>
    <x:tableColumn id="5" name="Remaining CAD"/>
    <x:tableColumn id="6" name="Forecast CA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tworkBacklog" displayName="NetworkBacklog" ref="A5:G11" headerRowCount="1" totalsRowCount="0" totalsRowShown="0">
  <x:tableColumns count="7">
    <x:tableColumn id="1" name="Story"/>
    <x:tableColumn id="2" name="Requirement"/>
    <x:tableColumn id="3" name="Priority"/>
    <x:tableColumn id="4" name="Acceptance"/>
    <x:tableColumn id="5" name="Owner"/>
    <x:tableColumn id="6" name="Final status"/>
    <x:tableColumn id="7" name="Dec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etworkResearch" displayName="NetworkResearch" ref="A5:I8" headerRowCount="1" totalsRowCount="0" totalsRowShown="0">
  <x:tableColumns count="9">
    <x:tableColumn id="1" name="Task"/>
    <x:tableColumn id="2" name="Requirement"/>
    <x:tableColumn id="3" name="Baseline success"/>
    <x:tableColumn id="4" name="Baseline sample"/>
    <x:tableColumn id="5" name="Final success"/>
    <x:tableColumn id="6" name="Final sample"/>
    <x:tableColumn id="7" name="Final rate"/>
    <x:tableColumn id="8" name="Target"/>
    <x:tableColumn id="9" name="G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etworkGates" displayName="NetworkGates" ref="A5:H11" headerRowCount="1" totalsRowCount="0" totalsRowShown="0">
  <x:tableColumns count="8">
    <x:tableColumn id="1" name="Gate"/>
    <x:tableColumn id="2" name="Criterion"/>
    <x:tableColumn id="3" name="Owner"/>
    <x:tableColumn id="4" name="W11 status"/>
    <x:tableColumn id="5" name="W14 status"/>
    <x:tableColumn id="6" name="W16 status"/>
    <x:tableColumn id="7" name="Evidence"/>
    <x:tableColumn id="8" name="Review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etworkRAID" displayName="NetworkRAID" ref="A5:H10" headerRowCount="1" totalsRowCount="0" totalsRowShown="0">
  <x:tableColumns count="8">
    <x:tableColumn id="1" name="ID"/>
    <x:tableColumn id="2" name="Type"/>
    <x:tableColumn id="3" name="Description"/>
    <x:tableColumn id="4" name="Owner"/>
    <x:tableColumn id="5" name="Status W11"/>
    <x:tableColumn id="6" name="Action"/>
    <x:tableColumn id="7" name="Due week"/>
    <x:tableColumn id="8" name="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41fbc35bc24f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54a2d49a2849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3d24b3c70e4c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82d1e3dcd24a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c9f69f36d348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4b0a516ac74700" /></Relationships>
</file>

<file path=xl/worksheets/sheet1.xml><?xml version="1.0" encoding="utf-8"?>
<x:worksheet xmlns:x="http://schemas.openxmlformats.org/spreadsheetml/2006/main">
  <x:sheetPr>
    <x:tabColor rgb="FF14243B"/>
  </x:sheetPr>
  <x:sheetViews>
    <x:sheetView showGridLines="0" workbookViewId="0"/>
  </x:sheetViews>
  <x:sheetFormatPr defaultRowHeight="15"/>
  <x:cols>
    <x:col min="1" max="1" width="24.440000534057617" hidden="0" customWidth="1"/>
    <x:col min="2" max="2" width="24.440000534057617" hidden="0" customWidth="1"/>
    <x:col min="3" max="3" width="37.779998779296875" hidden="0" customWidth="1"/>
    <x:col min="4" max="4" width="18.329999923706055" hidden="0" customWidth="1"/>
    <x:col min="5" max="5" width="18.329999923706055" hidden="0" customWidth="1"/>
  </x:cols>
  <x:sheetData>
    <x:row r="1" ht="22.5" customHeight="1">
      <x:c r="A1" s="2"/>
      <x:c r="B1" s="2"/>
      <x:c r="C1" s="2"/>
      <x:c r="D1" s="2"/>
      <x:c r="E1" s="2"/>
    </x:row>
    <x:row r="2" ht="22.5" customHeight="1">
      <x:c r="A2" s="3" t="str">
        <x:v>Network design review</x:v>
      </x:c>
      <x:c r="B2" s="3"/>
      <x:c r="C2" s="3"/>
      <x:c r="D2" s="3"/>
      <x:c r="E2" s="3"/>
    </x:row>
    <x:row r="3" ht="30" customHeight="1">
      <x:c r="A3" s="8" t="str">
        <x:v>Illustrative scenario. Cost snapshot W11; handoff evidence W16.</x:v>
      </x:c>
      <x:c r="B3" s="2"/>
      <x:c r="C3" s="2"/>
      <x:c r="D3" s="2"/>
      <x:c r="E3" s="2"/>
    </x:row>
    <x:row r="4" ht="22.5" customHeight="1">
      <x:c r="A4" s="2"/>
      <x:c r="B4" s="2"/>
      <x:c r="C4" s="2"/>
      <x:c r="D4" s="2"/>
      <x:c r="E4" s="2"/>
    </x:row>
    <x:row r="5" ht="34.5" customHeight="1">
      <x:c r="A5" s="7" t="str">
        <x:v>Metric</x:v>
      </x:c>
      <x:c r="B5" s="7" t="str">
        <x:v>Calculated result</x:v>
      </x:c>
      <x:c r="C5" s="7" t="str">
        <x:v>Basis</x:v>
      </x:c>
      <x:c r="D5" s="7"/>
      <x:c r="E5" s="7"/>
    </x:row>
    <x:row r="6" ht="39" customHeight="1">
      <x:c r="A6" s="8" t="str">
        <x:v>Funding ceiling CAD</x:v>
      </x:c>
      <x:c r="B6" s="10" t="n">
        <x:f>Budget!C12</x:f>
        <x:v>120000</x:v>
      </x:c>
      <x:c r="C6" s="8" t="str">
        <x:v>Base plus reserve</x:v>
      </x:c>
      <x:c r="D6" s="8"/>
      <x:c r="E6" s="8"/>
    </x:row>
    <x:row r="7" ht="39" customHeight="1">
      <x:c r="A7" s="8" t="str">
        <x:v>Estimated actual CAD</x:v>
      </x:c>
      <x:c r="B7" s="10" t="n">
        <x:f>Budget!D12</x:f>
        <x:v>86000</x:v>
      </x:c>
      <x:c r="C7" s="8" t="str">
        <x:v>Estimated scenario cost</x:v>
      </x:c>
      <x:c r="D7" s="8"/>
      <x:c r="E7" s="8"/>
    </x:row>
    <x:row r="8" ht="39" customHeight="1">
      <x:c r="A8" s="8" t="str">
        <x:v>Remaining forecast CAD</x:v>
      </x:c>
      <x:c r="B8" s="10" t="n">
        <x:f>Budget!E12</x:f>
        <x:v>30000</x:v>
      </x:c>
      <x:c r="C8" s="8" t="str">
        <x:v>Includes approved reserve draw once</x:v>
      </x:c>
      <x:c r="D8" s="8"/>
      <x:c r="E8" s="8"/>
    </x:row>
    <x:row r="9" ht="39" customHeight="1">
      <x:c r="A9" s="8" t="str">
        <x:v>EAC CAD</x:v>
      </x:c>
      <x:c r="B9" s="10" t="n">
        <x:f>Budget!F12</x:f>
        <x:v>116000</x:v>
      </x:c>
      <x:c r="C9" s="8" t="str">
        <x:v>Actual plus remaining</x:v>
      </x:c>
      <x:c r="D9" s="8"/>
      <x:c r="E9" s="8"/>
    </x:row>
    <x:row r="10" ht="39" customHeight="1">
      <x:c r="A10" s="8" t="str">
        <x:v>Funding headroom CAD</x:v>
      </x:c>
      <x:c r="B10" s="10" t="n">
        <x:f>IF(AND(ISNUMBER(B6),ISNUMBER(B9)),B6-B9,"Incomplete")</x:f>
        <x:v>4000</x:v>
      </x:c>
      <x:c r="C10" s="8" t="str">
        <x:v>Ceiling less EAC</x:v>
      </x:c>
      <x:c r="D10" s="8"/>
      <x:c r="E10" s="8"/>
    </x:row>
    <x:row r="11" ht="39" customHeight="1">
      <x:c r="A11" s="8" t="str">
        <x:v>Mandatory gates passed</x:v>
      </x:c>
      <x:c r="B11" s="8" t="n">
        <x:f>COUNTIF(Gates!F6:F11,"Pass")</x:f>
        <x:v>6</x:v>
      </x:c>
      <x:c r="C11" s="8" t="str">
        <x:v>W16 simulated controls</x:v>
      </x:c>
      <x:c r="D11" s="8"/>
      <x:c r="E11" s="8"/>
    </x:row>
    <x:row r="12" ht="39" customHeight="1">
      <x:c r="A12" s="8" t="str">
        <x:v>Evidence state</x:v>
      </x:c>
      <x:c r="B12" s="8" t="str">
        <x:f>IF(B11=6,"Ready for evidence review","Mandatory gates open")</x:f>
        <x:v>Ready for evidence review</x:v>
      </x:c>
      <x:c r="C12" s="8" t="str">
        <x:v>Review authentic evidence and authorization separately</x:v>
      </x:c>
      <x:c r="D12" s="8"/>
      <x:c r="E12" s="8"/>
    </x:row>
  </x:sheetData>
  <x:mergeCells>
    <x:mergeCell ref="A2:E2"/>
    <x:mergeCell ref="A3:E3"/>
  </x:mergeCells>
  <x:conditionalFormatting sqref="B10:B10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.109999656677246" hidden="0" customWidth="1"/>
    <x:col min="2" max="2" width="28.889999389648438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</x:cols>
  <x:sheetData>
    <x:row r="1" ht="22.5" customHeight="1">
      <x:c r="A1" s="2"/>
      <x:c r="B1" s="2"/>
      <x:c r="C1" s="2"/>
      <x:c r="D1" s="2"/>
      <x:c r="E1" s="2"/>
      <x:c r="F1" s="2"/>
    </x:row>
    <x:row r="2" ht="22.5" customHeight="1">
      <x:c r="A2" s="3" t="str">
        <x:v>Network application design controls</x:v>
      </x:c>
      <x:c r="B2" s="3"/>
      <x:c r="C2" s="3"/>
      <x:c r="D2" s="3"/>
      <x:c r="E2" s="3"/>
      <x:c r="F2" s="3"/>
    </x:row>
    <x:row r="3" ht="30" customHeight="1">
      <x:c r="A3" s="8" t="str">
        <x:v>Illustrative reconstruction. All figures and evidence references are fictional.</x:v>
      </x:c>
      <x:c r="B3" s="2"/>
      <x:c r="C3" s="2"/>
      <x:c r="D3" s="2"/>
      <x:c r="E3" s="2"/>
      <x:c r="F3" s="2"/>
    </x:row>
    <x:row r="4" ht="22.5" customHeight="1">
      <x:c r="A4" s="2"/>
      <x:c r="B4" s="2"/>
      <x:c r="C4" s="2"/>
      <x:c r="D4" s="2"/>
      <x:c r="E4" s="2"/>
      <x:c r="F4" s="2"/>
    </x:row>
    <x:row r="5" ht="34.5" customHeight="1">
      <x:c r="A5" s="7" t="str">
        <x:v>ID</x:v>
      </x:c>
      <x:c r="B5" s="7" t="str">
        <x:v>Milestone</x:v>
      </x:c>
      <x:c r="C5" s="7" t="str">
        <x:v>Baseline week</x:v>
      </x:c>
      <x:c r="D5" s="7" t="str">
        <x:v>Forecast week</x:v>
      </x:c>
      <x:c r="E5" s="7" t="str">
        <x:v>Owner</x:v>
      </x:c>
      <x:c r="F5" s="7" t="str">
        <x:v>Dependency</x:v>
      </x:c>
    </x:row>
    <x:row r="6" ht="48" customHeight="1">
      <x:c r="A6" s="8" t="str">
        <x:v>N-M01</x:v>
      </x:c>
      <x:c r="B6" s="8" t="str">
        <x:v>Discovery charter</x:v>
      </x:c>
      <x:c r="C6" s="9" t="n">
        <x:v>2</x:v>
      </x:c>
      <x:c r="D6" s="9" t="n">
        <x:v>2</x:v>
      </x:c>
      <x:c r="E6" s="8" t="str">
        <x:v>Sponsor</x:v>
      </x:c>
      <x:c r="F6" s="8" t="str"/>
    </x:row>
    <x:row r="7" ht="48" customHeight="1">
      <x:c r="A7" s="8" t="str">
        <x:v>N-M02</x:v>
      </x:c>
      <x:c r="B7" s="8" t="str">
        <x:v>Research and priority approval</x:v>
      </x:c>
      <x:c r="C7" s="9" t="n">
        <x:v>5</x:v>
      </x:c>
      <x:c r="D7" s="9" t="n">
        <x:v>5</x:v>
      </x:c>
      <x:c r="E7" s="8" t="str">
        <x:v>Product Owner</x:v>
      </x:c>
      <x:c r="F7" s="8" t="str">
        <x:v>N-M01</x:v>
      </x:c>
    </x:row>
    <x:row r="8" ht="48" customHeight="1">
      <x:c r="A8" s="8" t="str">
        <x:v>N-M03</x:v>
      </x:c>
      <x:c r="B8" s="8" t="str">
        <x:v>Prototype baseline</x:v>
      </x:c>
      <x:c r="C8" s="9" t="n">
        <x:v>11</x:v>
      </x:c>
      <x:c r="D8" s="9" t="n">
        <x:v>11</x:v>
      </x:c>
      <x:c r="E8" s="8" t="str">
        <x:v>UX Lead</x:v>
      </x:c>
      <x:c r="F8" s="8" t="str">
        <x:v>N-M02</x:v>
      </x:c>
    </x:row>
    <x:row r="9" ht="48" customHeight="1">
      <x:c r="A9" s="8" t="str">
        <x:v>N-M04</x:v>
      </x:c>
      <x:c r="B9" s="8" t="str">
        <x:v>Final usability and acceptance</x:v>
      </x:c>
      <x:c r="C9" s="9" t="n">
        <x:v>14</x:v>
      </x:c>
      <x:c r="D9" s="9" t="n">
        <x:v>14</x:v>
      </x:c>
      <x:c r="E9" s="8" t="str">
        <x:v>Product Owner</x:v>
      </x:c>
      <x:c r="F9" s="8" t="str">
        <x:v>N-M03</x:v>
      </x:c>
    </x:row>
    <x:row r="10" ht="48" customHeight="1">
      <x:c r="A10" s="8" t="str">
        <x:v>N-M05</x:v>
      </x:c>
      <x:c r="B10" s="8" t="str">
        <x:v>Implementation pack prepared</x:v>
      </x:c>
      <x:c r="C10" s="9" t="n">
        <x:v>15</x:v>
      </x:c>
      <x:c r="D10" s="9" t="n">
        <x:v>15</x:v>
      </x:c>
      <x:c r="E10" s="8" t="str">
        <x:v>Technical Lead</x:v>
      </x:c>
      <x:c r="F10" s="8" t="str">
        <x:v>N-M04</x:v>
      </x:c>
    </x:row>
    <x:row r="11" ht="48" customHeight="1">
      <x:c r="A11" s="8" t="str">
        <x:v>N-M06</x:v>
      </x:c>
      <x:c r="B11" s="8" t="str">
        <x:v>Receive handoff and close</x:v>
      </x:c>
      <x:c r="C11" s="9" t="n">
        <x:v>16</x:v>
      </x:c>
      <x:c r="D11" s="9" t="n">
        <x:v>16</x:v>
      </x:c>
      <x:c r="E11" s="8" t="str">
        <x:v>Sponsor</x:v>
      </x:c>
      <x:c r="F11" s="8" t="str">
        <x:v>N-M05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c941fbc35bc24f4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.109999656677246" hidden="0" customWidth="1"/>
    <x:col min="2" max="2" width="28.889999389648438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</x:cols>
  <x:sheetData>
    <x:row r="1" ht="22.5" customHeight="1">
      <x:c r="A1" s="2"/>
      <x:c r="B1" s="2"/>
      <x:c r="C1" s="2"/>
      <x:c r="D1" s="2"/>
      <x:c r="E1" s="2"/>
      <x:c r="F1" s="2"/>
    </x:row>
    <x:row r="2" ht="22.5" customHeight="1">
      <x:c r="A2" s="3" t="str">
        <x:v>Network application design controls</x:v>
      </x:c>
      <x:c r="B2" s="3"/>
      <x:c r="C2" s="3"/>
      <x:c r="D2" s="3"/>
      <x:c r="E2" s="3"/>
      <x:c r="F2" s="3"/>
    </x:row>
    <x:row r="3" ht="30" customHeight="1">
      <x:c r="A3" s="8" t="str">
        <x:v>Illustrative reconstruction. All figures and evidence references are fictional.</x:v>
      </x:c>
      <x:c r="B3" s="2"/>
      <x:c r="C3" s="2"/>
      <x:c r="D3" s="2"/>
      <x:c r="E3" s="2"/>
      <x:c r="F3" s="2"/>
    </x:row>
    <x:row r="4" ht="22.5" customHeight="1">
      <x:c r="A4" s="2"/>
      <x:c r="B4" s="2"/>
      <x:c r="C4" s="2"/>
      <x:c r="D4" s="2"/>
      <x:c r="E4" s="2"/>
      <x:c r="F4" s="2"/>
    </x:row>
    <x:row r="5" ht="34.5" customHeight="1">
      <x:c r="A5" s="7" t="str">
        <x:v>ID</x:v>
      </x:c>
      <x:c r="B5" s="7" t="str">
        <x:v>Workstream</x:v>
      </x:c>
      <x:c r="C5" s="7" t="str">
        <x:v>Baseline CAD</x:v>
      </x:c>
      <x:c r="D5" s="7" t="str">
        <x:v>Actual CAD</x:v>
      </x:c>
      <x:c r="E5" s="7" t="str">
        <x:v>Remaining CAD</x:v>
      </x:c>
      <x:c r="F5" s="7" t="str">
        <x:v>Forecast CAD</x:v>
      </x:c>
    </x:row>
    <x:row r="6" ht="48" customHeight="1">
      <x:c r="A6" s="8" t="str">
        <x:v>N-B01</x:v>
      </x:c>
      <x:c r="B6" s="8" t="str">
        <x:v>Discovery and research</x:v>
      </x:c>
      <x:c r="C6" s="11" t="n">
        <x:v>24000</x:v>
      </x:c>
      <x:c r="D6" s="11" t="n">
        <x:v>24000</x:v>
      </x:c>
      <x:c r="E6" s="11" t="n">
        <x:v>0</x:v>
      </x:c>
      <x:c r="F6" s="10" t="n">
        <x:f>IF(COUNT(D6:E6)=2,D6+E6,"Missing cost")</x:f>
        <x:v>24000</x:v>
      </x:c>
    </x:row>
    <x:row r="7" ht="48" customHeight="1">
      <x:c r="A7" s="8" t="str">
        <x:v>N-B02</x:v>
      </x:c>
      <x:c r="B7" s="8" t="str">
        <x:v>UX design</x:v>
      </x:c>
      <x:c r="C7" s="11" t="n">
        <x:v>32000</x:v>
      </x:c>
      <x:c r="D7" s="11" t="n">
        <x:v>26000</x:v>
      </x:c>
      <x:c r="E7" s="11" t="n">
        <x:v>6000</x:v>
      </x:c>
      <x:c r="F7" s="10" t="n">
        <x:f>IF(COUNT(D7:E7)=2,D7+E7,"Missing cost")</x:f>
        <x:v>32000</x:v>
      </x:c>
    </x:row>
    <x:row r="8" ht="48" customHeight="1">
      <x:c r="A8" s="8" t="str">
        <x:v>N-B03</x:v>
      </x:c>
      <x:c r="B8" s="8" t="str">
        <x:v>Visual and content</x:v>
      </x:c>
      <x:c r="C8" s="11" t="n">
        <x:v>24000</x:v>
      </x:c>
      <x:c r="D8" s="11" t="n">
        <x:v>18000</x:v>
      </x:c>
      <x:c r="E8" s="11" t="n">
        <x:v>6000</x:v>
      </x:c>
      <x:c r="F8" s="10" t="n">
        <x:f>IF(COUNT(D8:E8)=2,D8+E8,"Missing cost")</x:f>
        <x:v>24000</x:v>
      </x:c>
    </x:row>
    <x:row r="9" ht="48" customHeight="1">
      <x:c r="A9" s="8" t="str">
        <x:v>N-B04</x:v>
      </x:c>
      <x:c r="B9" s="8" t="str">
        <x:v>Usability and accessibility</x:v>
      </x:c>
      <x:c r="C9" s="11" t="n">
        <x:v>16000</x:v>
      </x:c>
      <x:c r="D9" s="11" t="n">
        <x:v>8000</x:v>
      </x:c>
      <x:c r="E9" s="11" t="n">
        <x:v>8000</x:v>
      </x:c>
      <x:c r="F9" s="10" t="n">
        <x:f>IF(COUNT(D9:E9)=2,D9+E9,"Missing cost")</x:f>
        <x:v>16000</x:v>
      </x:c>
    </x:row>
    <x:row r="10" ht="48" customHeight="1">
      <x:c r="A10" s="8" t="str">
        <x:v>N-B05</x:v>
      </x:c>
      <x:c r="B10" s="8" t="str">
        <x:v>PM and handoff</x:v>
      </x:c>
      <x:c r="C10" s="11" t="n">
        <x:v>16000</x:v>
      </x:c>
      <x:c r="D10" s="11" t="n">
        <x:v>10000</x:v>
      </x:c>
      <x:c r="E10" s="11" t="n">
        <x:v>6000</x:v>
      </x:c>
      <x:c r="F10" s="10" t="n">
        <x:f>IF(COUNT(D10:E10)=2,D10+E10,"Missing cost")</x:f>
        <x:v>16000</x:v>
      </x:c>
    </x:row>
    <x:row r="11" ht="48" customHeight="1">
      <x:c r="A11" s="8" t="str">
        <x:v>N-B06</x:v>
      </x:c>
      <x:c r="B11" s="8" t="str">
        <x:v>Contingency</x:v>
      </x:c>
      <x:c r="C11" s="11" t="n">
        <x:v>8000</x:v>
      </x:c>
      <x:c r="D11" s="11" t="n">
        <x:v>0</x:v>
      </x:c>
      <x:c r="E11" s="11" t="n">
        <x:v>4000</x:v>
      </x:c>
      <x:c r="F11" s="10" t="n">
        <x:f>IF(COUNT(D11:E11)=2,D11+E11,"Missing cost")</x:f>
        <x:v>4000</x:v>
      </x:c>
    </x:row>
    <x:row r="12">
      <x:c r="B12" s="13" t="str">
        <x:v>Total</x:v>
      </x:c>
      <x:c r="C12" s="14" t="n">
        <x:f>IF(COUNT(C6:C11)=6,SUM(C6:C11),"Missing cost")</x:f>
        <x:v>120000</x:v>
      </x:c>
      <x:c r="D12" s="14" t="n">
        <x:f>IF(COUNT(D6:D11)=6,SUM(D6:D11),"Missing cost")</x:f>
        <x:v>86000</x:v>
      </x:c>
      <x:c r="E12" s="14" t="n">
        <x:f>IF(COUNT(E6:E11)=6,SUM(E6:E11),"Missing cost")</x:f>
        <x:v>30000</x:v>
      </x:c>
      <x:c r="F12" s="14" t="n">
        <x:f>IF(COUNT(F6:F11)=6,SUM(F6:F11),"Missing cost")</x:f>
        <x:v>116000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d254a2d49a28498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.109999656677246" hidden="0" customWidth="1"/>
    <x:col min="2" max="2" width="11.109999656677246" hidden="0" customWidth="1"/>
    <x:col min="3" max="3" width="18.329999923706055" hidden="0" customWidth="1"/>
    <x:col min="4" max="4" width="28.889999389648438" hidden="0" customWidth="1"/>
    <x:col min="5" max="5" width="18.329999923706055" hidden="0" customWidth="1"/>
    <x:col min="6" max="6" width="18.329999923706055" hidden="0" customWidth="1"/>
    <x:col min="7" max="7" width="18.329999923706055" hidden="0" customWidth="1"/>
  </x:cols>
  <x:sheetData>
    <x:row r="1" ht="22.5" customHeight="1">
      <x:c r="A1" s="2"/>
      <x:c r="B1" s="2"/>
      <x:c r="C1" s="2"/>
      <x:c r="D1" s="2"/>
      <x:c r="E1" s="2"/>
      <x:c r="F1" s="2"/>
      <x:c r="G1" s="2"/>
    </x:row>
    <x:row r="2" ht="22.5" customHeight="1">
      <x:c r="A2" s="3" t="str">
        <x:v>Network application design controls</x:v>
      </x:c>
      <x:c r="B2" s="3"/>
      <x:c r="C2" s="3"/>
      <x:c r="D2" s="3"/>
      <x:c r="E2" s="3"/>
      <x:c r="F2" s="3"/>
      <x:c r="G2" s="3"/>
    </x:row>
    <x:row r="3" ht="30" customHeight="1">
      <x:c r="A3" s="8" t="str">
        <x:v>Illustrative reconstruction. All figures and evidence references are fictional.</x:v>
      </x:c>
      <x:c r="B3" s="2"/>
      <x:c r="C3" s="2"/>
      <x:c r="D3" s="2"/>
      <x:c r="E3" s="2"/>
      <x:c r="F3" s="2"/>
      <x:c r="G3" s="2"/>
    </x:row>
    <x:row r="4" ht="22.5" customHeight="1">
      <x:c r="A4" s="2"/>
      <x:c r="B4" s="2"/>
      <x:c r="C4" s="2"/>
      <x:c r="D4" s="2"/>
      <x:c r="E4" s="2"/>
      <x:c r="F4" s="2"/>
      <x:c r="G4" s="2"/>
    </x:row>
    <x:row r="5" ht="34.5" customHeight="1">
      <x:c r="A5" s="7" t="str">
        <x:v>Story</x:v>
      </x:c>
      <x:c r="B5" s="7" t="str">
        <x:v>Requirement</x:v>
      </x:c>
      <x:c r="C5" s="7" t="str">
        <x:v>Priority</x:v>
      </x:c>
      <x:c r="D5" s="7" t="str">
        <x:v>Acceptance</x:v>
      </x:c>
      <x:c r="E5" s="7" t="str">
        <x:v>Owner</x:v>
      </x:c>
      <x:c r="F5" s="7" t="str">
        <x:v>Final status</x:v>
      </x:c>
      <x:c r="G5" s="7" t="str">
        <x:v>Decision</x:v>
      </x:c>
    </x:row>
    <x:row r="6" ht="48" customHeight="1">
      <x:c r="A6" s="8" t="str">
        <x:v>N-ST01</x:v>
      </x:c>
      <x:c r="B6" s="8" t="str">
        <x:v>NET-01</x:v>
      </x:c>
      <x:c r="C6" s="8" t="str">
        <x:v>Must</x:v>
      </x:c>
      <x:c r="D6" s="8" t="str">
        <x:v>Find device and status</x:v>
      </x:c>
      <x:c r="E6" s="8" t="str">
        <x:v>UX Lead</x:v>
      </x:c>
      <x:c r="F6" s="8" t="str">
        <x:v>Accepted</x:v>
      </x:c>
      <x:c r="G6" s="8" t="str">
        <x:v>DEC-N02</x:v>
      </x:c>
    </x:row>
    <x:row r="7" ht="48" customHeight="1">
      <x:c r="A7" s="8" t="str">
        <x:v>N-ST02</x:v>
      </x:c>
      <x:c r="B7" s="8" t="str">
        <x:v>NET-02</x:v>
      </x:c>
      <x:c r="C7" s="8" t="str">
        <x:v>Must</x:v>
      </x:c>
      <x:c r="D7" s="8" t="str">
        <x:v>Locate and manage guest control</x:v>
      </x:c>
      <x:c r="E7" s="8" t="str">
        <x:v>UX Lead</x:v>
      </x:c>
      <x:c r="F7" s="8" t="str">
        <x:v>Accepted after revision</x:v>
      </x:c>
      <x:c r="G7" s="8" t="str">
        <x:v>CR-N01</x:v>
      </x:c>
    </x:row>
    <x:row r="8" ht="48" customHeight="1">
      <x:c r="A8" s="8" t="str">
        <x:v>N-ST03</x:v>
      </x:c>
      <x:c r="B8" s="8" t="str">
        <x:v>NET-03</x:v>
      </x:c>
      <x:c r="C8" s="8" t="str">
        <x:v>Must</x:v>
      </x:c>
      <x:c r="D8" s="8" t="str">
        <x:v>Find troubleshooting next action</x:v>
      </x:c>
      <x:c r="E8" s="8" t="str">
        <x:v>Content Lead</x:v>
      </x:c>
      <x:c r="F8" s="8" t="str">
        <x:v>Accepted</x:v>
      </x:c>
      <x:c r="G8" s="8" t="str">
        <x:v>DEC-N02</x:v>
      </x:c>
    </x:row>
    <x:row r="9" ht="48" customHeight="1">
      <x:c r="A9" s="8" t="str">
        <x:v>N-ST04</x:v>
      </x:c>
      <x:c r="B9" s="8" t="str">
        <x:v>NET-04</x:v>
      </x:c>
      <x:c r="C9" s="8" t="str">
        <x:v>Must</x:v>
      </x:c>
      <x:c r="D9" s="8" t="str">
        <x:v>Restricted action explains permission</x:v>
      </x:c>
      <x:c r="E9" s="8" t="str">
        <x:v>UX Lead</x:v>
      </x:c>
      <x:c r="F9" s="8" t="str">
        <x:v>Accepted</x:v>
      </x:c>
      <x:c r="G9" s="8" t="str">
        <x:v>DEC-N02</x:v>
      </x:c>
    </x:row>
    <x:row r="10" ht="48" customHeight="1">
      <x:c r="A10" s="8" t="str">
        <x:v>N-ST05</x:v>
      </x:c>
      <x:c r="B10" s="8" t="str">
        <x:v>NET-05</x:v>
      </x:c>
      <x:c r="C10" s="8" t="str">
        <x:v>Must</x:v>
      </x:c>
      <x:c r="D10" s="8" t="str">
        <x:v>Focus and navigation reviewed</x:v>
      </x:c>
      <x:c r="E10" s="8" t="str">
        <x:v>QA Reviewer</x:v>
      </x:c>
      <x:c r="F10" s="8" t="str">
        <x:v>Accepted</x:v>
      </x:c>
      <x:c r="G10" s="8" t="str">
        <x:v>DEC-N02</x:v>
      </x:c>
    </x:row>
    <x:row r="11" ht="48" customHeight="1">
      <x:c r="A11" s="8" t="str">
        <x:v>N-ST06</x:v>
      </x:c>
      <x:c r="B11" s="8" t="str">
        <x:v>New request</x:v>
      </x:c>
      <x:c r="C11" s="8" t="str">
        <x:v>Later</x:v>
      </x:c>
      <x:c r="D11" s="8" t="str">
        <x:v>Usage history needs backend discovery</x:v>
      </x:c>
      <x:c r="E11" s="8" t="str">
        <x:v>Product Owner</x:v>
      </x:c>
      <x:c r="F11" s="8" t="str">
        <x:v>Deferred</x:v>
      </x:c>
      <x:c r="G11" s="8" t="str">
        <x:v>CR-N02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033d24b3c70e4ca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.109999656677246" hidden="0" customWidth="1"/>
    <x:col min="2" max="2" width="11.109999656677246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  <x:col min="7" max="7" width="18.329999923706055" hidden="0" customWidth="1"/>
    <x:col min="8" max="8" width="18.329999923706055" hidden="0" customWidth="1"/>
    <x:col min="9" max="9" width="11.109999656677246" hidden="0" customWidth="1"/>
  </x:cols>
  <x:sheetData>
    <x:row r="1" ht="22.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2.5" customHeight="1">
      <x:c r="A2" s="3" t="str">
        <x:v>Network application design controls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8" t="str">
        <x:v>Illustrative reconstruction. All figures and evidence references are fictional.</x:v>
      </x:c>
      <x:c r="B3" s="2"/>
      <x:c r="C3" s="2"/>
      <x:c r="D3" s="2"/>
      <x:c r="E3" s="2"/>
      <x:c r="F3" s="2"/>
      <x:c r="G3" s="2"/>
      <x:c r="H3" s="2"/>
      <x:c r="I3" s="2"/>
    </x:row>
    <x:row r="4" ht="22.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.5" customHeight="1">
      <x:c r="A5" s="7" t="str">
        <x:v>Task</x:v>
      </x:c>
      <x:c r="B5" s="7" t="str">
        <x:v>Requirement</x:v>
      </x:c>
      <x:c r="C5" s="7" t="str">
        <x:v>Baseline success</x:v>
      </x:c>
      <x:c r="D5" s="7" t="str">
        <x:v>Baseline sample</x:v>
      </x:c>
      <x:c r="E5" s="7" t="str">
        <x:v>Final success</x:v>
      </x:c>
      <x:c r="F5" s="7" t="str">
        <x:v>Final sample</x:v>
      </x:c>
      <x:c r="G5" s="7" t="str">
        <x:v>Final rate</x:v>
      </x:c>
      <x:c r="H5" s="7" t="str">
        <x:v>Target</x:v>
      </x:c>
      <x:c r="I5" s="7" t="str">
        <x:v>Gate</x:v>
      </x:c>
    </x:row>
    <x:row r="6" ht="48" customHeight="1">
      <x:c r="A6" s="8" t="str">
        <x:v>RES-01</x:v>
      </x:c>
      <x:c r="B6" s="8" t="str">
        <x:v>NET-01</x:v>
      </x:c>
      <x:c r="C6" s="8" t="n">
        <x:v>7</x:v>
      </x:c>
      <x:c r="D6" s="8" t="n">
        <x:v>12</x:v>
      </x:c>
      <x:c r="E6" s="8" t="n">
        <x:v>11</x:v>
      </x:c>
      <x:c r="F6" s="8" t="n">
        <x:v>12</x:v>
      </x:c>
      <x:c r="G6" s="15" t="n">
        <x:f>IF(OR(F6="",F6&lt;=0,E6="",E6&gt;F6,E6&lt;0),"Missing or invalid sample",E6/F6)</x:f>
        <x:v>0.9166666666666666</x:v>
      </x:c>
      <x:c r="H6" s="15" t="n">
        <x:v>0.8</x:v>
      </x:c>
      <x:c r="I6" s="8" t="str">
        <x:f>IF(ISNUMBER(G6),IF(G6&gt;=H6,"Meets","Does not meet"),"Incomplete")</x:f>
        <x:v>Meets</x:v>
      </x:c>
    </x:row>
    <x:row r="7" ht="48" customHeight="1">
      <x:c r="A7" s="8" t="str">
        <x:v>RES-02</x:v>
      </x:c>
      <x:c r="B7" s="8" t="str">
        <x:v>NET-02</x:v>
      </x:c>
      <x:c r="C7" s="8" t="n">
        <x:v>6</x:v>
      </x:c>
      <x:c r="D7" s="8" t="n">
        <x:v>12</x:v>
      </x:c>
      <x:c r="E7" s="8" t="n">
        <x:v>10</x:v>
      </x:c>
      <x:c r="F7" s="8" t="n">
        <x:v>12</x:v>
      </x:c>
      <x:c r="G7" s="15" t="n">
        <x:f>IF(OR(F7="",F7&lt;=0,E7="",E7&gt;F7,E7&lt;0),"Missing or invalid sample",E7/F7)</x:f>
        <x:v>0.8333333333333334</x:v>
      </x:c>
      <x:c r="H7" s="15" t="n">
        <x:v>0.8</x:v>
      </x:c>
      <x:c r="I7" s="8" t="str">
        <x:f>IF(ISNUMBER(G7),IF(G7&gt;=H7,"Meets","Does not meet"),"Incomplete")</x:f>
        <x:v>Meets</x:v>
      </x:c>
    </x:row>
    <x:row r="8" ht="48" customHeight="1">
      <x:c r="A8" s="8" t="str">
        <x:v>RES-03</x:v>
      </x:c>
      <x:c r="B8" s="8" t="str">
        <x:v>NET-03</x:v>
      </x:c>
      <x:c r="C8" s="8" t="n">
        <x:v>8</x:v>
      </x:c>
      <x:c r="D8" s="8" t="n">
        <x:v>12</x:v>
      </x:c>
      <x:c r="E8" s="8" t="n">
        <x:v>11</x:v>
      </x:c>
      <x:c r="F8" s="8" t="n">
        <x:v>12</x:v>
      </x:c>
      <x:c r="G8" s="15" t="n">
        <x:f>IF(OR(F8="",F8&lt;=0,E8="",E8&gt;F8,E8&lt;0),"Missing or invalid sample",E8/F8)</x:f>
        <x:v>0.9166666666666666</x:v>
      </x:c>
      <x:c r="H8" s="15" t="n">
        <x:v>0.8</x:v>
      </x:c>
      <x:c r="I8" s="8" t="str">
        <x:f>IF(ISNUMBER(G8),IF(G8&gt;=H8,"Meets","Does not meet"),"Incomplete")</x:f>
        <x:v>Meets</x:v>
      </x:c>
    </x:row>
  </x:sheetData>
  <x:mergeCells>
    <x:mergeCell ref="A2:I2"/>
    <x:mergeCell ref="A3:I3"/>
  </x:mergeCells>
  <x:conditionalFormatting sqref="I6:I8">
    <x:cfRule type="containsText" dxfId="0" priority="1" operator="containsText" text="Does not meet"/>
  </x:conditionalFormatting>
  <x:pageMargins left="0.7" right="0.7" top="0.75" bottom="0.75" header="0.3" footer="0.3"/>
  <x:tableParts count="1">
    <x:tablePart xmlns:r="http://schemas.openxmlformats.org/officeDocument/2006/relationships" r:id="Rd482d1e3dcd24af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.109999656677246" hidden="0" customWidth="1"/>
    <x:col min="2" max="2" width="28.889999389648438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  <x:col min="7" max="7" width="18.329999923706055" hidden="0" customWidth="1"/>
    <x:col min="8" max="8" width="18.329999923706055" hidden="0" customWidth="1"/>
  </x:cols>
  <x:sheetData>
    <x:row r="1" ht="22.5" customHeight="1">
      <x:c r="A1" s="2"/>
      <x:c r="B1" s="2"/>
      <x:c r="C1" s="2"/>
      <x:c r="D1" s="2"/>
      <x:c r="E1" s="2"/>
      <x:c r="F1" s="2"/>
      <x:c r="G1" s="2"/>
      <x:c r="H1" s="2"/>
    </x:row>
    <x:row r="2" ht="22.5" customHeight="1">
      <x:c r="A2" s="3" t="str">
        <x:v>Network application design controls</x:v>
      </x:c>
      <x:c r="B2" s="3"/>
      <x:c r="C2" s="3"/>
      <x:c r="D2" s="3"/>
      <x:c r="E2" s="3"/>
      <x:c r="F2" s="3"/>
      <x:c r="G2" s="3"/>
      <x:c r="H2" s="3"/>
    </x:row>
    <x:row r="3" ht="30" customHeight="1">
      <x:c r="A3" s="8" t="str">
        <x:v>Illustrative reconstruction. All figures and evidence references are fictional.</x:v>
      </x:c>
      <x:c r="B3" s="2"/>
      <x:c r="C3" s="2"/>
      <x:c r="D3" s="2"/>
      <x:c r="E3" s="2"/>
      <x:c r="F3" s="2"/>
      <x:c r="G3" s="2"/>
      <x:c r="H3" s="2"/>
    </x:row>
    <x:row r="4" ht="22.5" customHeight="1">
      <x:c r="A4" s="2"/>
      <x:c r="B4" s="2"/>
      <x:c r="C4" s="2"/>
      <x:c r="D4" s="2"/>
      <x:c r="E4" s="2"/>
      <x:c r="F4" s="2"/>
      <x:c r="G4" s="2"/>
      <x:c r="H4" s="2"/>
    </x:row>
    <x:row r="5" ht="34.5" customHeight="1">
      <x:c r="A5" s="7" t="str">
        <x:v>Gate</x:v>
      </x:c>
      <x:c r="B5" s="7" t="str">
        <x:v>Criterion</x:v>
      </x:c>
      <x:c r="C5" s="7" t="str">
        <x:v>Owner</x:v>
      </x:c>
      <x:c r="D5" s="7" t="str">
        <x:v>W11 status</x:v>
      </x:c>
      <x:c r="E5" s="7" t="str">
        <x:v>W14 status</x:v>
      </x:c>
      <x:c r="F5" s="7" t="str">
        <x:v>W16 status</x:v>
      </x:c>
      <x:c r="G5" s="7" t="str">
        <x:v>Evidence</x:v>
      </x:c>
      <x:c r="H5" s="7" t="str">
        <x:v>Reviewer</x:v>
      </x:c>
    </x:row>
    <x:row r="6" ht="48" customHeight="1">
      <x:c r="A6" s="8" t="str">
        <x:v>N-G01</x:v>
      </x:c>
      <x:c r="B6" s="8" t="str">
        <x:v>Device task &gt;=80%</x:v>
      </x:c>
      <x:c r="C6" s="8" t="str">
        <x:v>Research Lead</x:v>
      </x:c>
      <x:c r="D6" s="8" t="str">
        <x:v>Pending</x:v>
      </x:c>
      <x:c r="E6" s="8" t="str">
        <x:v>Pass</x:v>
      </x:c>
      <x:c r="F6" s="8" t="str">
        <x:v>Pass</x:v>
      </x:c>
      <x:c r="G6" s="8" t="str">
        <x:v>SIM-N-RES01</x:v>
      </x:c>
      <x:c r="H6" s="8" t="str">
        <x:v>Product Owner</x:v>
      </x:c>
    </x:row>
    <x:row r="7" ht="48" customHeight="1">
      <x:c r="A7" s="8" t="str">
        <x:v>N-G02</x:v>
      </x:c>
      <x:c r="B7" s="8" t="str">
        <x:v>Guest control task &gt;=80%</x:v>
      </x:c>
      <x:c r="C7" s="8" t="str">
        <x:v>Research Lead</x:v>
      </x:c>
      <x:c r="D7" s="8" t="str">
        <x:v>Fail</x:v>
      </x:c>
      <x:c r="E7" s="8" t="str">
        <x:v>Pass</x:v>
      </x:c>
      <x:c r="F7" s="8" t="str">
        <x:v>Pass</x:v>
      </x:c>
      <x:c r="G7" s="8" t="str">
        <x:v>SIM-N-RES02</x:v>
      </x:c>
      <x:c r="H7" s="8" t="str">
        <x:v>Product Owner</x:v>
      </x:c>
    </x:row>
    <x:row r="8" ht="48" customHeight="1">
      <x:c r="A8" s="8" t="str">
        <x:v>N-G03</x:v>
      </x:c>
      <x:c r="B8" s="8" t="str">
        <x:v>Troubleshooting task &gt;=80%</x:v>
      </x:c>
      <x:c r="C8" s="8" t="str">
        <x:v>Research Lead</x:v>
      </x:c>
      <x:c r="D8" s="8" t="str">
        <x:v>Pending</x:v>
      </x:c>
      <x:c r="E8" s="8" t="str">
        <x:v>Pass</x:v>
      </x:c>
      <x:c r="F8" s="8" t="str">
        <x:v>Pass</x:v>
      </x:c>
      <x:c r="G8" s="8" t="str">
        <x:v>SIM-N-RES03</x:v>
      </x:c>
      <x:c r="H8" s="8" t="str">
        <x:v>Product Owner</x:v>
      </x:c>
    </x:row>
    <x:row r="9" ht="48" customHeight="1">
      <x:c r="A9" s="8" t="str">
        <x:v>N-G04</x:v>
      </x:c>
      <x:c r="B9" s="8" t="str">
        <x:v>Zero critical findings and reviewed accessibility</x:v>
      </x:c>
      <x:c r="C9" s="8" t="str">
        <x:v>QA Reviewer</x:v>
      </x:c>
      <x:c r="D9" s="8" t="str">
        <x:v>Pending</x:v>
      </x:c>
      <x:c r="E9" s="8" t="str">
        <x:v>Pass</x:v>
      </x:c>
      <x:c r="F9" s="8" t="str">
        <x:v>Pass</x:v>
      </x:c>
      <x:c r="G9" s="8" t="str">
        <x:v>SIM-N-QA</x:v>
      </x:c>
      <x:c r="H9" s="8" t="str">
        <x:v>QA Reviewer</x:v>
      </x:c>
    </x:row>
    <x:row r="10" ht="48" customHeight="1">
      <x:c r="A10" s="8" t="str">
        <x:v>N-G05</x:v>
      </x:c>
      <x:c r="B10" s="8" t="str">
        <x:v>Feasibility and prototype acceptance</x:v>
      </x:c>
      <x:c r="C10" s="8" t="str">
        <x:v>Technical Lead</x:v>
      </x:c>
      <x:c r="D10" s="8" t="str">
        <x:v>Pending</x:v>
      </x:c>
      <x:c r="E10" s="8" t="str">
        <x:v>Pass</x:v>
      </x:c>
      <x:c r="F10" s="8" t="str">
        <x:v>Pass</x:v>
      </x:c>
      <x:c r="G10" s="8" t="str">
        <x:v>DEC-N02</x:v>
      </x:c>
      <x:c r="H10" s="8" t="str">
        <x:v>Product Owner</x:v>
      </x:c>
    </x:row>
    <x:row r="11" ht="48" customHeight="1">
      <x:c r="A11" s="8" t="str">
        <x:v>N-G06</x:v>
      </x:c>
      <x:c r="B11" s="8" t="str">
        <x:v>Receiving-team handoff W16</x:v>
      </x:c>
      <x:c r="C11" s="8" t="str">
        <x:v>PM</x:v>
      </x:c>
      <x:c r="D11" s="8" t="str">
        <x:v>Pending</x:v>
      </x:c>
      <x:c r="E11" s="8" t="str">
        <x:v>Pending</x:v>
      </x:c>
      <x:c r="F11" s="8" t="str">
        <x:v>Pass</x:v>
      </x:c>
      <x:c r="G11" s="8" t="str">
        <x:v>DEC-N03</x:v>
      </x:c>
      <x:c r="H11" s="8" t="str">
        <x:v>Technical Lead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f2c9f69f36d348e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.109999656677246" hidden="0" customWidth="1"/>
    <x:col min="2" max="2" width="18.329999923706055" hidden="0" customWidth="1"/>
    <x:col min="3" max="3" width="28.889999389648438" hidden="0" customWidth="1"/>
    <x:col min="4" max="4" width="18.329999923706055" hidden="0" customWidth="1"/>
    <x:col min="5" max="5" width="18.329999923706055" hidden="0" customWidth="1"/>
    <x:col min="6" max="6" width="28.889999389648438" hidden="0" customWidth="1"/>
    <x:col min="7" max="7" width="18.329999923706055" hidden="0" customWidth="1"/>
    <x:col min="8" max="8" width="18.329999923706055" hidden="0" customWidth="1"/>
  </x:cols>
  <x:sheetData>
    <x:row r="1" ht="22.5" customHeight="1">
      <x:c r="A1" s="2"/>
      <x:c r="B1" s="2"/>
      <x:c r="C1" s="2"/>
      <x:c r="D1" s="2"/>
      <x:c r="E1" s="2"/>
      <x:c r="F1" s="2"/>
      <x:c r="G1" s="2"/>
      <x:c r="H1" s="2"/>
    </x:row>
    <x:row r="2" ht="22.5" customHeight="1">
      <x:c r="A2" s="3" t="str">
        <x:v>Network application design controls</x:v>
      </x:c>
      <x:c r="B2" s="3"/>
      <x:c r="C2" s="3"/>
      <x:c r="D2" s="3"/>
      <x:c r="E2" s="3"/>
      <x:c r="F2" s="3"/>
      <x:c r="G2" s="3"/>
      <x:c r="H2" s="3"/>
    </x:row>
    <x:row r="3" ht="30" customHeight="1">
      <x:c r="A3" s="8" t="str">
        <x:v>Illustrative reconstruction. All figures and evidence references are fictional.</x:v>
      </x:c>
      <x:c r="B3" s="2"/>
      <x:c r="C3" s="2"/>
      <x:c r="D3" s="2"/>
      <x:c r="E3" s="2"/>
      <x:c r="F3" s="2"/>
      <x:c r="G3" s="2"/>
      <x:c r="H3" s="2"/>
    </x:row>
    <x:row r="4" ht="22.5" customHeight="1">
      <x:c r="A4" s="2"/>
      <x:c r="B4" s="2"/>
      <x:c r="C4" s="2"/>
      <x:c r="D4" s="2"/>
      <x:c r="E4" s="2"/>
      <x:c r="F4" s="2"/>
      <x:c r="G4" s="2"/>
      <x:c r="H4" s="2"/>
    </x:row>
    <x:row r="5" ht="34.5" customHeight="1">
      <x:c r="A5" s="7" t="str">
        <x:v>ID</x:v>
      </x:c>
      <x:c r="B5" s="7" t="str">
        <x:v>Type</x:v>
      </x:c>
      <x:c r="C5" s="7" t="str">
        <x:v>Description</x:v>
      </x:c>
      <x:c r="D5" s="7" t="str">
        <x:v>Owner</x:v>
      </x:c>
      <x:c r="E5" s="7" t="str">
        <x:v>Status W11</x:v>
      </x:c>
      <x:c r="F5" s="7" t="str">
        <x:v>Action</x:v>
      </x:c>
      <x:c r="G5" s="7" t="str">
        <x:v>Due week</x:v>
      </x:c>
      <x:c r="H5" s="7" t="str">
        <x:v>Link</x:v>
      </x:c>
    </x:row>
    <x:row r="6" ht="48" customHeight="1">
      <x:c r="A6" s="8" t="str">
        <x:v>R-N01</x:v>
      </x:c>
      <x:c r="B6" s="8" t="str">
        <x:v>Risk</x:v>
      </x:c>
      <x:c r="C6" s="8" t="str">
        <x:v>Feature interest may not mean task success</x:v>
      </x:c>
      <x:c r="D6" s="8" t="str">
        <x:v>Research Lead</x:v>
      </x:c>
      <x:c r="E6" s="8" t="str">
        <x:v>Materialized</x:v>
      </x:c>
      <x:c r="F6" s="8" t="str">
        <x:v>Observe task attempts</x:v>
      </x:c>
      <x:c r="G6" s="9" t="n">
        <x:v>13</x:v>
      </x:c>
      <x:c r="H6" s="8" t="str">
        <x:v>I-N01</x:v>
      </x:c>
    </x:row>
    <x:row r="7" ht="48" customHeight="1">
      <x:c r="A7" s="8" t="str">
        <x:v>I-N01</x:v>
      </x:c>
      <x:c r="B7" s="8" t="str">
        <x:v>Issue</x:v>
      </x:c>
      <x:c r="C7" s="8" t="str">
        <x:v>Guest journey only 6 of 12 succeed</x:v>
      </x:c>
      <x:c r="D7" s="8" t="str">
        <x:v>UX Lead</x:v>
      </x:c>
      <x:c r="E7" s="8" t="str">
        <x:v>Open critical</x:v>
      </x:c>
      <x:c r="F7" s="8" t="str">
        <x:v>Revise content and navigation</x:v>
      </x:c>
      <x:c r="G7" s="9" t="n">
        <x:v>13</x:v>
      </x:c>
      <x:c r="H7" s="8" t="str">
        <x:v>CR-N01</x:v>
      </x:c>
    </x:row>
    <x:row r="8" ht="48" customHeight="1">
      <x:c r="A8" s="8" t="str">
        <x:v>R-N02</x:v>
      </x:c>
      <x:c r="B8" s="8" t="str">
        <x:v>Risk</x:v>
      </x:c>
      <x:c r="C8" s="8" t="str">
        <x:v>Unsupported device capability implied</x:v>
      </x:c>
      <x:c r="D8" s="8" t="str">
        <x:v>Technical Lead</x:v>
      </x:c>
      <x:c r="E8" s="8" t="str">
        <x:v>Mitigating</x:v>
      </x:c>
      <x:c r="F8" s="8" t="str">
        <x:v>Feasibility review</x:v>
      </x:c>
      <x:c r="G8" s="9" t="n">
        <x:v>14</x:v>
      </x:c>
      <x:c r="H8" s="8" t="str">
        <x:v>N-G05</x:v>
      </x:c>
    </x:row>
    <x:row r="9" ht="48" customHeight="1">
      <x:c r="A9" s="8" t="str">
        <x:v>R-N03</x:v>
      </x:c>
      <x:c r="B9" s="8" t="str">
        <x:v>Risk</x:v>
      </x:c>
      <x:c r="C9" s="8" t="str">
        <x:v>Research sample bias</x:v>
      </x:c>
      <x:c r="D9" s="8" t="str">
        <x:v>Research Lead</x:v>
      </x:c>
      <x:c r="E9" s="8" t="str">
        <x:v>Mitigating</x:v>
      </x:c>
      <x:c r="F9" s="8" t="str">
        <x:v>Record mix and learning effects</x:v>
      </x:c>
      <x:c r="G9" s="9" t="n">
        <x:v>14</x:v>
      </x:c>
      <x:c r="H9" s="8" t="str">
        <x:v>RES-02</x:v>
      </x:c>
    </x:row>
    <x:row r="10" ht="48" customHeight="1">
      <x:c r="A10" s="8" t="str">
        <x:v>D-N01</x:v>
      </x:c>
      <x:c r="B10" s="8" t="str">
        <x:v>Dependency</x:v>
      </x:c>
      <x:c r="C10" s="8" t="str">
        <x:v>Receiving-team capacity</x:v>
      </x:c>
      <x:c r="D10" s="8" t="str">
        <x:v>Technical Lead</x:v>
      </x:c>
      <x:c r="E10" s="8" t="str">
        <x:v>Confirmed</x:v>
      </x:c>
      <x:c r="F10" s="8" t="str">
        <x:v>Reserve handoff review</x:v>
      </x:c>
      <x:c r="G10" s="9" t="n">
        <x:v>16</x:v>
      </x:c>
      <x:c r="H10" s="8" t="str">
        <x:v>N-G06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c74b0a516ac74700"/>
  </x:tableParts>
</x:worksheet>
</file>