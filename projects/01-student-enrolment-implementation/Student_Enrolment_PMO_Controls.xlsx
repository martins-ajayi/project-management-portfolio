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4801eaae5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29f9bb6321f54d1f"/>
    <x:sheet xmlns:r="http://schemas.openxmlformats.org/officeDocument/2006/relationships" name="Milestones" sheetId="2" r:id="Rf4c218b071144efe"/>
    <x:sheet xmlns:r="http://schemas.openxmlformats.org/officeDocument/2006/relationships" name="RAID" sheetId="3" r:id="Rb5099eb5371e4035"/>
    <x:sheet xmlns:r="http://schemas.openxmlformats.org/officeDocument/2006/relationships" name="Requirements" sheetId="4" r:id="Rfd2c5dc077ed4e5f"/>
    <x:sheet xmlns:r="http://schemas.openxmlformats.org/officeDocument/2006/relationships" name="Test_Cases" sheetId="5" r:id="R48c134a54e2d4de7"/>
    <x:sheet xmlns:r="http://schemas.openxmlformats.org/officeDocument/2006/relationships" name="Stakeholders" sheetId="6" r:id="R704d18968f4c47de"/>
    <x:sheet xmlns:r="http://schemas.openxmlformats.org/officeDocument/2006/relationships" name="RACI" sheetId="7" r:id="R7ef52bfeeb974597"/>
    <x:sheet xmlns:r="http://schemas.openxmlformats.org/officeDocument/2006/relationships" name="Decisions" sheetId="8" r:id="Rd403a94ca4044ad2"/>
    <x:sheet xmlns:r="http://schemas.openxmlformats.org/officeDocument/2006/relationships" name="Actions" sheetId="9" r:id="R436a56f016094e54"/>
    <x:sheet xmlns:r="http://schemas.openxmlformats.org/officeDocument/2006/relationships" name="Cutover" sheetId="10" r:id="Rc355b13c80544840"/>
    <x:sheet xmlns:r="http://schemas.openxmlformats.org/officeDocument/2006/relationships" name="Benefits" sheetId="11" r:id="R500b3dcbf9b54aae"/>
    <x:sheet xmlns:r="http://schemas.openxmlformats.org/officeDocument/2006/relationships" name="UAT_Summary" sheetId="12" r:id="R41a710c1b51b431f"/>
    <x:sheet xmlns:r="http://schemas.openxmlformats.org/officeDocument/2006/relationships" name="Dashboard" sheetId="13" r:id="Rd6b7c6ca031a4e93"/>
    <x:sheet xmlns:r="http://schemas.openxmlformats.org/officeDocument/2006/relationships" name="Backlog" sheetId="14" r:id="R151d77350917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&quot;$&quot;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5F4A25"/>
      <x:name val="Carlito"/>
    </x:font>
    <x:font>
      <x:b/>
      <x:sz val="11"/>
      <x:color rgb="FF17263D"/>
      <x:name val="Carlito"/>
    </x:font>
    <x:font>
      <x:b/>
      <x:sz val="11"/>
      <x:color rgb="FF854D0E"/>
      <x:name val="Carlito"/>
    </x:font>
    <x:font>
      <x:sz val="11"/>
      <x:color rgb="FF47556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63D"/>
      </x:patternFill>
    </x:fill>
    <x:fill>
      <x:patternFill patternType="solid">
        <x:fgColor rgb="FFF0E5D2"/>
      </x:patternFill>
    </x:fill>
    <x:fill>
      <x:patternFill patternType="solid">
        <x:fgColor rgb="FF33465B"/>
      </x:patternFill>
    </x:fill>
    <x:fill>
      <x:patternFill patternType="solid">
        <x:fgColor rgb="FFEDF1F6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5F6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1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4" fillId="6" borderId="0" xfId="0" applyNumberFormat="1" applyFont="1" applyFill="1" applyBorder="1"/>
    <x:xf numFmtId="201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0" fillId="6" borderId="1" xfId="0" applyNumberFormat="1" applyFont="1" applyFill="1" applyBorder="1"/>
    <x:xf numFmtId="201" fontId="4" fillId="6" borderId="1" xfId="0" applyNumberFormat="1" applyFont="1" applyFill="1" applyBorder="1"/>
    <x:xf numFmtId="200" fontId="4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9831011fc4178" /><Relationship Type="http://schemas.openxmlformats.org/officeDocument/2006/relationships/theme" Target="/xl/theme/theme1.xml" Id="Rb57916db1e924ea0" /><Relationship Type="http://schemas.openxmlformats.org/officeDocument/2006/relationships/sharedStrings" Target="/xl/sharedStrings.xml" Id="R7f74f0c9695b4e68" /><Relationship Type="http://schemas.openxmlformats.org/officeDocument/2006/relationships/worksheet" Target="/xl/worksheets/sheet1.xml" Id="R29f9bb6321f54d1f" /><Relationship Type="http://schemas.openxmlformats.org/officeDocument/2006/relationships/worksheet" Target="/xl/worksheets/sheet2.xml" Id="Rf4c218b071144efe" /><Relationship Type="http://schemas.openxmlformats.org/officeDocument/2006/relationships/worksheet" Target="/xl/worksheets/sheet3.xml" Id="Rb5099eb5371e4035" /><Relationship Type="http://schemas.openxmlformats.org/officeDocument/2006/relationships/worksheet" Target="/xl/worksheets/sheet4.xml" Id="Rfd2c5dc077ed4e5f" /><Relationship Type="http://schemas.openxmlformats.org/officeDocument/2006/relationships/worksheet" Target="/xl/worksheets/sheet5.xml" Id="R48c134a54e2d4de7" /><Relationship Type="http://schemas.openxmlformats.org/officeDocument/2006/relationships/worksheet" Target="/xl/worksheets/sheet6.xml" Id="R704d18968f4c47de" /><Relationship Type="http://schemas.openxmlformats.org/officeDocument/2006/relationships/worksheet" Target="/xl/worksheets/sheet7.xml" Id="R7ef52bfeeb974597" /><Relationship Type="http://schemas.openxmlformats.org/officeDocument/2006/relationships/worksheet" Target="/xl/worksheets/sheet8.xml" Id="Rd403a94ca4044ad2" /><Relationship Type="http://schemas.openxmlformats.org/officeDocument/2006/relationships/worksheet" Target="/xl/worksheets/sheet9.xml" Id="R436a56f016094e54" /><Relationship Type="http://schemas.openxmlformats.org/officeDocument/2006/relationships/worksheet" Target="/xl/worksheets/sheet10.xml" Id="Rc355b13c80544840" /><Relationship Type="http://schemas.openxmlformats.org/officeDocument/2006/relationships/worksheet" Target="/xl/worksheets/sheet11.xml" Id="R500b3dcbf9b54aae" /><Relationship Type="http://schemas.openxmlformats.org/officeDocument/2006/relationships/worksheet" Target="/xl/worksheets/sheet12.xml" Id="R41a710c1b51b431f" /><Relationship Type="http://schemas.openxmlformats.org/officeDocument/2006/relationships/worksheet" Target="/xl/worksheets/sheet13.xml" Id="Rd6b7c6ca031a4e93" /><Relationship Type="http://schemas.openxmlformats.org/officeDocument/2006/relationships/worksheet" Target="/xl/worksheets/sheet14.xml" Id="R151d7735091742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9d55a17bb64e5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Baseline</c:v>
          </c:tx>
          <c:cat>
            <c:strRef>
              <c:f>'Budget'!$B$2:$B$9</c:f>
              <c:strCache>
                <c:ptCount val="0"/>
              </c:strCache>
            </c:strRef>
          </c:cat>
          <c:val>
            <c:numRef>
              <c:f>'Budget'!$C$2:$C$9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Scenario EAC</c:v>
          </c:tx>
          <c:cat>
            <c:strRef>
              <c:f>'Budget'!$B$2:$B$9</c:f>
              <c:strCache>
                <c:ptCount val="0"/>
              </c:strCache>
            </c:strRef>
          </c:cat>
          <c:val>
            <c:numRef>
              <c:f>'Budget'!$D$2:$D$9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9d55a17bb64e5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1e6a50ddce87444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</x:cols>
  <x:sheetData>
    <x:row r="1" ht="32" customHeight="1">
      <x:c r="A1" s="5" t="str">
        <x:v>Cost_ID</x:v>
      </x:c>
      <x:c r="B1" s="5" t="str">
        <x:v>Workstream</x:v>
      </x:c>
      <x:c r="C1" s="5" t="str">
        <x:v>Baseline_CAD</x:v>
      </x:c>
      <x:c r="D1" s="5" t="str">
        <x:v>Illustrative_EAC_W16_CAD</x:v>
      </x:c>
      <x:c r="E1" s="5" t="str">
        <x:v>Explanation</x:v>
      </x:c>
    </x:row>
    <x:row r="2" ht="34" customHeight="1">
      <x:c r="A2" s="10" t="str">
        <x:v>B-01</x:v>
      </x:c>
      <x:c r="B2" s="10" t="str">
        <x:v>Discovery and requirements</x:v>
      </x:c>
      <x:c r="C2" s="10" t="n">
        <x:v>28000</x:v>
      </x:c>
      <x:c r="D2" s="10" t="n">
        <x:v>28000</x:v>
      </x:c>
      <x:c r="E2" s="10" t="str">
        <x:v>Base work</x:v>
      </x:c>
    </x:row>
    <x:row r="3" ht="34" customHeight="1">
      <x:c r="A3" s="10" t="str">
        <x:v>B-02</x:v>
      </x:c>
      <x:c r="B3" s="10" t="str">
        <x:v>Solution design</x:v>
      </x:c>
      <x:c r="C3" s="10" t="n">
        <x:v>28000</x:v>
      </x:c>
      <x:c r="D3" s="10" t="n">
        <x:v>28000</x:v>
      </x:c>
      <x:c r="E3" s="10" t="str">
        <x:v>Base work</x:v>
      </x:c>
    </x:row>
    <x:row r="4" ht="34" customHeight="1">
      <x:c r="A4" s="10" t="str">
        <x:v>B-03</x:v>
      </x:c>
      <x:c r="B4" s="10" t="str">
        <x:v>Development and integration</x:v>
      </x:c>
      <x:c r="C4" s="10" t="n">
        <x:v>86000</x:v>
      </x:c>
      <x:c r="D4" s="10" t="n">
        <x:v>86000</x:v>
      </x:c>
      <x:c r="E4" s="10" t="str">
        <x:v>Base work</x:v>
      </x:c>
    </x:row>
    <x:row r="5" ht="34" customHeight="1">
      <x:c r="A5" s="10" t="str">
        <x:v>B-04</x:v>
      </x:c>
      <x:c r="B5" s="10" t="str">
        <x:v>QA and UAT</x:v>
      </x:c>
      <x:c r="C5" s="10" t="n">
        <x:v>34000</x:v>
      </x:c>
      <x:c r="D5" s="10" t="n">
        <x:v>34000</x:v>
      </x:c>
      <x:c r="E5" s="10" t="str">
        <x:v>Base work</x:v>
      </x:c>
    </x:row>
    <x:row r="6" ht="34" customHeight="1">
      <x:c r="A6" s="10" t="str">
        <x:v>B-05</x:v>
      </x:c>
      <x:c r="B6" s="10" t="str">
        <x:v>Training and change</x:v>
      </x:c>
      <x:c r="C6" s="10" t="n">
        <x:v>23000</x:v>
      </x:c>
      <x:c r="D6" s="10" t="n">
        <x:v>23000</x:v>
      </x:c>
      <x:c r="E6" s="10" t="str">
        <x:v>Base work</x:v>
      </x:c>
    </x:row>
    <x:row r="7" ht="34" customHeight="1">
      <x:c r="A7" s="10" t="str">
        <x:v>B-06</x:v>
      </x:c>
      <x:c r="B7" s="10" t="str">
        <x:v>Deployment and hypercare</x:v>
      </x:c>
      <x:c r="C7" s="10" t="n">
        <x:v>13000</x:v>
      </x:c>
      <x:c r="D7" s="10" t="n">
        <x:v>13000</x:v>
      </x:c>
      <x:c r="E7" s="10" t="str">
        <x:v>Base work</x:v>
      </x:c>
    </x:row>
    <x:row r="8" ht="34" customHeight="1">
      <x:c r="A8" s="10" t="str">
        <x:v>B-07</x:v>
      </x:c>
      <x:c r="B8" s="10" t="str">
        <x:v>PM and governance</x:v>
      </x:c>
      <x:c r="C8" s="10" t="n">
        <x:v>16000</x:v>
      </x:c>
      <x:c r="D8" s="10" t="n">
        <x:v>16000</x:v>
      </x:c>
      <x:c r="E8" s="10" t="str">
        <x:v>Base work</x:v>
      </x:c>
    </x:row>
    <x:row r="9" ht="34" customHeight="1">
      <x:c r="A9" s="10" t="str">
        <x:v>B-08</x:v>
      </x:c>
      <x:c r="B9" s="10" t="str">
        <x:v>Contingency</x:v>
      </x:c>
      <x:c r="C9" s="10" t="n">
        <x:v>12000</x:v>
      </x:c>
      <x:c r="D9" s="10" t="n">
        <x:v>8000</x:v>
      </x:c>
      <x:c r="E9" s="10" t="str">
        <x:v>CHG-01 approved draw; 4000 unspent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2" customHeight="1">
      <x:c r="A1" s="5" t="str">
        <x:v>ID</x:v>
      </x:c>
      <x:c r="B1" s="5" t="str">
        <x:v>Phase</x:v>
      </x:c>
      <x:c r="C1" s="5" t="str">
        <x:v>Milestone</x:v>
      </x:c>
      <x:c r="D1" s="5" t="str">
        <x:v>Baseline_Week</x:v>
      </x:c>
      <x:c r="E1" s="5" t="str">
        <x:v>Forecast_Week</x:v>
      </x:c>
      <x:c r="F1" s="5" t="str">
        <x:v>Scenario_Status_W16</x:v>
      </x:c>
      <x:c r="G1" s="5" t="str">
        <x:v>Owner</x:v>
      </x:c>
      <x:c r="H1" s="5" t="str">
        <x:v>Dependency</x:v>
      </x:c>
      <x:c r="I1" s="5" t="str">
        <x:v>Gate_Evidence</x:v>
      </x:c>
    </x:row>
    <x:row r="2" ht="34" customHeight="1">
      <x:c r="A2" s="10" t="str">
        <x:v>M-01</x:v>
      </x:c>
      <x:c r="B2" s="10" t="str">
        <x:v>Initiation</x:v>
      </x:c>
      <x:c r="C2" s="10" t="str">
        <x:v>Concept authorized</x:v>
      </x:c>
      <x:c r="D2" s="10" t="n">
        <x:v>2</x:v>
      </x:c>
      <x:c r="E2" s="10" t="n">
        <x:v>2</x:v>
      </x:c>
      <x:c r="F2" s="10" t="str">
        <x:v>Complete</x:v>
      </x:c>
      <x:c r="G2" s="10" t="str">
        <x:v>Sponsor</x:v>
      </x:c>
      <x:c r="H2" s="10" t="str"/>
      <x:c r="I2" s="10" t="str">
        <x:v>Business case</x:v>
      </x:c>
    </x:row>
    <x:row r="3" ht="34" customHeight="1">
      <x:c r="A3" s="10" t="str">
        <x:v>M-02</x:v>
      </x:c>
      <x:c r="B3" s="10" t="str">
        <x:v>Planning</x:v>
      </x:c>
      <x:c r="C3" s="10" t="str">
        <x:v>Baseline scope and plan approved</x:v>
      </x:c>
      <x:c r="D3" s="10" t="n">
        <x:v>5</x:v>
      </x:c>
      <x:c r="E3" s="10" t="n">
        <x:v>5</x:v>
      </x:c>
      <x:c r="F3" s="10" t="str">
        <x:v>Complete</x:v>
      </x:c>
      <x:c r="G3" s="10" t="str">
        <x:v>Sponsor</x:v>
      </x:c>
      <x:c r="H3" s="10" t="str">
        <x:v>M-01</x:v>
      </x:c>
      <x:c r="I3" s="10" t="str">
        <x:v>Charter + WBS + budget</x:v>
      </x:c>
    </x:row>
    <x:row r="4" ht="34" customHeight="1">
      <x:c r="A4" s="10" t="str">
        <x:v>M-03</x:v>
      </x:c>
      <x:c r="B4" s="10" t="str">
        <x:v>Build</x:v>
      </x:c>
      <x:c r="C4" s="10" t="str">
        <x:v>Features baseline complete</x:v>
      </x:c>
      <x:c r="D4" s="10" t="n">
        <x:v>13</x:v>
      </x:c>
      <x:c r="E4" s="10" t="n">
        <x:v>13</x:v>
      </x:c>
      <x:c r="F4" s="10" t="str">
        <x:v>Complete</x:v>
      </x:c>
      <x:c r="G4" s="10" t="str">
        <x:v>Technical Lead</x:v>
      </x:c>
      <x:c r="H4" s="10" t="str">
        <x:v>M-02</x:v>
      </x:c>
      <x:c r="I4" s="10" t="str">
        <x:v>Demo + traceability</x:v>
      </x:c>
    </x:row>
    <x:row r="5" ht="34" customHeight="1">
      <x:c r="A5" s="10" t="str">
        <x:v>M-04</x:v>
      </x:c>
      <x:c r="B5" s="10" t="str">
        <x:v>Assurance</x:v>
      </x:c>
      <x:c r="C5" s="10" t="str">
        <x:v>UAT and operations gate</x:v>
      </x:c>
      <x:c r="D5" s="10" t="n">
        <x:v>17</x:v>
      </x:c>
      <x:c r="E5" s="10" t="n">
        <x:v>17</x:v>
      </x:c>
      <x:c r="F5" s="10" t="str">
        <x:v>At risk</x:v>
      </x:c>
      <x:c r="G5" s="10" t="str">
        <x:v>Business Owner / Ops Lead</x:v>
      </x:c>
      <x:c r="H5" s="10" t="str">
        <x:v>M-03</x:v>
      </x:c>
      <x:c r="I5" s="10" t="str">
        <x:v>UAT &gt;=95%; zero P0/P1; readiness checklist</x:v>
      </x:c>
    </x:row>
    <x:row r="6" ht="34" customHeight="1">
      <x:c r="A6" s="10" t="str">
        <x:v>M-05</x:v>
      </x:c>
      <x:c r="B6" s="10" t="str">
        <x:v>Release</x:v>
      </x:c>
      <x:c r="C6" s="10" t="str">
        <x:v>10-school pilot</x:v>
      </x:c>
      <x:c r="D6" s="10" t="n">
        <x:v>18</x:v>
      </x:c>
      <x:c r="E6" s="10" t="n">
        <x:v>18</x:v>
      </x:c>
      <x:c r="F6" s="10" t="str">
        <x:v>At risk</x:v>
      </x:c>
      <x:c r="G6" s="10" t="str">
        <x:v>Sponsor</x:v>
      </x:c>
      <x:c r="H6" s="10" t="str">
        <x:v>M-04</x:v>
      </x:c>
      <x:c r="I6" s="10" t="str">
        <x:v>G3 go/no-go + smoke tests</x:v>
      </x:c>
    </x:row>
    <x:row r="7" ht="34" customHeight="1">
      <x:c r="A7" s="10" t="str">
        <x:v>M-06</x:v>
      </x:c>
      <x:c r="B7" s="10" t="str">
        <x:v>Pilot</x:v>
      </x:c>
      <x:c r="C7" s="10" t="str">
        <x:v>Pilot evidence and decision</x:v>
      </x:c>
      <x:c r="D7" s="10" t="n">
        <x:v>20</x:v>
      </x:c>
      <x:c r="E7" s="10" t="n">
        <x:v>20</x:v>
      </x:c>
      <x:c r="F7" s="10" t="str">
        <x:v>Planned</x:v>
      </x:c>
      <x:c r="G7" s="10" t="str">
        <x:v>Sponsor</x:v>
      </x:c>
      <x:c r="H7" s="10" t="str">
        <x:v>M-05</x:v>
      </x:c>
      <x:c r="I7" s="10" t="str">
        <x:v>Support + adoption + incident evidence</x:v>
      </x:c>
    </x:row>
    <x:row r="8" ht="34" customHeight="1">
      <x:c r="A8" s="10" t="str">
        <x:v>M-07</x:v>
      </x:c>
      <x:c r="B8" s="10" t="str">
        <x:v>Release</x:v>
      </x:c>
      <x:c r="C8" s="10" t="str">
        <x:v>40-school expanded rollout</x:v>
      </x:c>
      <x:c r="D8" s="10" t="n">
        <x:v>21</x:v>
      </x:c>
      <x:c r="E8" s="10" t="n">
        <x:v>21</x:v>
      </x:c>
      <x:c r="F8" s="10" t="str">
        <x:v>Planned</x:v>
      </x:c>
      <x:c r="G8" s="10" t="str">
        <x:v>Sponsor</x:v>
      </x:c>
      <x:c r="H8" s="10" t="str">
        <x:v>M-06</x:v>
      </x:c>
      <x:c r="I8" s="10" t="str">
        <x:v>G4 go/no-go + readiness</x:v>
      </x:c>
    </x:row>
    <x:row r="9" ht="34" customHeight="1">
      <x:c r="A9" s="10" t="str">
        <x:v>M-08</x:v>
      </x:c>
      <x:c r="B9" s="10" t="str">
        <x:v>Closure</x:v>
      </x:c>
      <x:c r="C9" s="10" t="str">
        <x:v>Handover and closeout</x:v>
      </x:c>
      <x:c r="D9" s="10" t="n">
        <x:v>24</x:v>
      </x:c>
      <x:c r="E9" s="10" t="n">
        <x:v>24</x:v>
      </x:c>
      <x:c r="F9" s="10" t="str">
        <x:v>Planned</x:v>
      </x:c>
      <x:c r="G9" s="10" t="str">
        <x:v>Business Owner / Ops Lead</x:v>
      </x:c>
      <x:c r="H9" s="10" t="str">
        <x:v>M-07</x:v>
      </x:c>
      <x:c r="I9" s="10" t="str">
        <x:v>Runbook + benefits ownership + closure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32" customHeight="1">
      <x:c r="A1" s="5" t="str">
        <x:v>Record_ID</x:v>
      </x:c>
      <x:c r="B1" s="5" t="str">
        <x:v>Type</x:v>
      </x:c>
      <x:c r="C1" s="5" t="str">
        <x:v>Description</x:v>
      </x:c>
      <x:c r="D1" s="5" t="str">
        <x:v>Likelihood_1to5</x:v>
      </x:c>
      <x:c r="E1" s="5" t="str">
        <x:v>Impact_1to5</x:v>
      </x:c>
      <x:c r="F1" s="5" t="str">
        <x:v>Score</x:v>
      </x:c>
      <x:c r="G1" s="5" t="str">
        <x:v>Priority</x:v>
      </x:c>
      <x:c r="H1" s="5" t="str">
        <x:v>Owner</x:v>
      </x:c>
      <x:c r="I1" s="5" t="str">
        <x:v>Response_or_Action</x:v>
      </x:c>
      <x:c r="J1" s="5" t="str">
        <x:v>Target_Week</x:v>
      </x:c>
      <x:c r="K1" s="5" t="str">
        <x:v>Status_W16</x:v>
      </x:c>
      <x:c r="L1" s="5" t="str">
        <x:v>Scenario_Resolution</x:v>
      </x:c>
    </x:row>
    <x:row r="2" ht="34" customHeight="1">
      <x:c r="A2" s="10" t="str">
        <x:v>R-01</x:v>
      </x:c>
      <x:c r="B2" s="10" t="str">
        <x:v>Risk</x:v>
      </x:c>
      <x:c r="C2" s="10" t="str">
        <x:v>Duplicate candidate IDs in legacy import</x:v>
      </x:c>
      <x:c r="D2" s="10" t="n">
        <x:v>4</x:v>
      </x:c>
      <x:c r="E2" s="10" t="n">
        <x:v>5</x:v>
      </x:c>
      <x:c r="F2" s="10" t="n">
        <x:v>20</x:v>
      </x:c>
      <x:c r="G2" s="10" t="str">
        <x:v>High</x:v>
      </x:c>
      <x:c r="H2" s="10" t="str">
        <x:v>Data Lead</x:v>
      </x:c>
      <x:c r="I2" s="10" t="str">
        <x:v>Profile source; dry-run reconciliation; negative tests</x:v>
      </x:c>
      <x:c r="J2" s="10" t="n">
        <x:v>16</x:v>
      </x:c>
      <x:c r="K2" s="10" t="str">
        <x:v>Materialized as I-01</x:v>
      </x:c>
      <x:c r="L2" s="10" t="str">
        <x:v>See I-01; closed W17 in worked scenario</x:v>
      </x:c>
    </x:row>
    <x:row r="3" ht="34" customHeight="1">
      <x:c r="A3" s="10" t="str">
        <x:v>R-02</x:v>
      </x:c>
      <x:c r="B3" s="10" t="str">
        <x:v>Risk</x:v>
      </x:c>
      <x:c r="C3" s="10" t="str">
        <x:v>Limited school UAT capacity</x:v>
      </x:c>
      <x:c r="D3" s="10" t="n">
        <x:v>3</x:v>
      </x:c>
      <x:c r="E3" s="10" t="n">
        <x:v>4</x:v>
      </x:c>
      <x:c r="F3" s="10" t="n">
        <x:v>12</x:v>
      </x:c>
      <x:c r="G3" s="10" t="str">
        <x:v>Medium</x:v>
      </x:c>
      <x:c r="H3" s="10" t="str">
        <x:v>Business Owner</x:v>
      </x:c>
      <x:c r="I3" s="10" t="str">
        <x:v>Reserve testers and alternates</x:v>
      </x:c>
      <x:c r="J3" s="10" t="n">
        <x:v>14</x:v>
      </x:c>
      <x:c r="K3" s="10" t="str">
        <x:v>Mitigating</x:v>
      </x:c>
      <x:c r="L3" s="10" t="str">
        <x:v>No delay simulated</x:v>
      </x:c>
    </x:row>
    <x:row r="4" ht="34" customHeight="1">
      <x:c r="A4" s="10" t="str">
        <x:v>R-03</x:v>
      </x:c>
      <x:c r="B4" s="10" t="str">
        <x:v>Risk</x:v>
      </x:c>
      <x:c r="C4" s="10" t="str">
        <x:v>Incorrect access to school records</x:v>
      </x:c>
      <x:c r="D4" s="10" t="n">
        <x:v>2</x:v>
      </x:c>
      <x:c r="E4" s="10" t="n">
        <x:v>5</x:v>
      </x:c>
      <x:c r="F4" s="10" t="n">
        <x:v>10</x:v>
      </x:c>
      <x:c r="G4" s="10" t="str">
        <x:v>Medium</x:v>
      </x:c>
      <x:c r="H4" s="10" t="str">
        <x:v>Technical Lead</x:v>
      </x:c>
      <x:c r="I4" s="10" t="str">
        <x:v>Permission review and negative-case UAT</x:v>
      </x:c>
      <x:c r="J4" s="10" t="n">
        <x:v>17</x:v>
      </x:c>
      <x:c r="K4" s="10" t="str">
        <x:v>Mitigating</x:v>
      </x:c>
      <x:c r="L4" s="10" t="str">
        <x:v>Access gate passed W17</x:v>
      </x:c>
    </x:row>
    <x:row r="5" ht="34" customHeight="1">
      <x:c r="A5" s="10" t="str">
        <x:v>R-04</x:v>
      </x:c>
      <x:c r="B5" s="10" t="str">
        <x:v>Risk</x:v>
      </x:c>
      <x:c r="C5" s="10" t="str">
        <x:v>Training below release target</x:v>
      </x:c>
      <x:c r="D5" s="10" t="n">
        <x:v>3</x:v>
      </x:c>
      <x:c r="E5" s="10" t="n">
        <x:v>3</x:v>
      </x:c>
      <x:c r="F5" s="10" t="n">
        <x:v>9</x:v>
      </x:c>
      <x:c r="G5" s="10" t="str">
        <x:v>Medium</x:v>
      </x:c>
      <x:c r="H5" s="10" t="str">
        <x:v>Change Lead</x:v>
      </x:c>
      <x:c r="I5" s="10" t="str">
        <x:v>Train-the-trainer and attendance tracking</x:v>
      </x:c>
      <x:c r="J5" s="10" t="n">
        <x:v>17</x:v>
      </x:c>
      <x:c r="K5" s="10" t="str">
        <x:v>Mitigating</x:v>
      </x:c>
      <x:c r="L5" s="10" t="str">
        <x:v>95% sample completion at closure</x:v>
      </x:c>
    </x:row>
    <x:row r="6" ht="34" customHeight="1">
      <x:c r="A6" s="10" t="str">
        <x:v>A-01</x:v>
      </x:c>
      <x:c r="B6" s="10" t="str">
        <x:v>Assumption</x:v>
      </x:c>
      <x:c r="C6" s="10" t="str">
        <x:v>School SMEs available for UAT</x:v>
      </x:c>
      <x:c r="D6" s="10" t="n">
        <x:v>0</x:v>
      </x:c>
      <x:c r="E6" s="10" t="n">
        <x:v>0</x:v>
      </x:c>
      <x:c r="F6" s="10" t="n">
        <x:v>0</x:v>
      </x:c>
      <x:c r="G6" s="10" t="str">
        <x:v>Watch</x:v>
      </x:c>
      <x:c r="H6" s="10" t="str">
        <x:v>Business Owner</x:v>
      </x:c>
      <x:c r="I6" s="10" t="str">
        <x:v>Validate participant commitments</x:v>
      </x:c>
      <x:c r="J6" s="10" t="n">
        <x:v>13</x:v>
      </x:c>
      <x:c r="K6" s="10" t="str">
        <x:v>Validated</x:v>
      </x:c>
      <x:c r="L6" s="10" t="str">
        <x:v>Confirmed in simulation</x:v>
      </x:c>
    </x:row>
    <x:row r="7" ht="34" customHeight="1">
      <x:c r="A7" s="10" t="str">
        <x:v>D-01</x:v>
      </x:c>
      <x:c r="B7" s="10" t="str">
        <x:v>Dependency</x:v>
      </x:c>
      <x:c r="C7" s="10" t="str">
        <x:v>Approved source-to-target data mapping</x:v>
      </x:c>
      <x:c r="D7" s="10" t="n">
        <x:v>0</x:v>
      </x:c>
      <x:c r="E7" s="10" t="n">
        <x:v>0</x:v>
      </x:c>
      <x:c r="F7" s="10" t="n">
        <x:v>0</x:v>
      </x:c>
      <x:c r="G7" s="10" t="str">
        <x:v>High</x:v>
      </x:c>
      <x:c r="H7" s="10" t="str">
        <x:v>Data Lead</x:v>
      </x:c>
      <x:c r="I7" s="10" t="str">
        <x:v>Get business owner approval</x:v>
      </x:c>
      <x:c r="J7" s="10" t="n">
        <x:v>16</x:v>
      </x:c>
      <x:c r="K7" s="10" t="str">
        <x:v>At risk</x:v>
      </x:c>
      <x:c r="L7" s="10" t="str">
        <x:v>Remediated and signed W17</x:v>
      </x:c>
    </x:row>
    <x:row r="8" ht="34" customHeight="1">
      <x:c r="A8" s="10" t="str">
        <x:v>I-01</x:v>
      </x:c>
      <x:c r="B8" s="10" t="str">
        <x:v>Issue</x:v>
      </x:c>
      <x:c r="C8" s="10" t="str">
        <x:v>Duplicate candidate IDs fail migration rehearsal and UAT</x:v>
      </x:c>
      <x:c r="D8" s="10" t="n">
        <x:v>0</x:v>
      </x:c>
      <x:c r="E8" s="10" t="n">
        <x:v>5</x:v>
      </x:c>
      <x:c r="F8" s="10" t="n">
        <x:v>0</x:v>
      </x:c>
      <x:c r="G8" s="10" t="str">
        <x:v>Critical</x:v>
      </x:c>
      <x:c r="H8" s="10" t="str">
        <x:v>Data Lead</x:v>
      </x:c>
      <x:c r="I8" s="10" t="str">
        <x:v>Quarantine; revise mapping; retest; CHG-01 DEC-02</x:v>
      </x:c>
      <x:c r="J8" s="10" t="n">
        <x:v>17</x:v>
      </x:c>
      <x:c r="K8" s="10" t="str">
        <x:v>Open P1</x:v>
      </x:c>
      <x:c r="L8" s="10" t="str">
        <x:v>Closed after 180/180 pass W17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2" customHeight="1">
      <x:c r="A1" s="5" t="str">
        <x:v>Requirement_ID</x:v>
      </x:c>
      <x:c r="B1" s="5" t="str">
        <x:v>Business_Need</x:v>
      </x:c>
      <x:c r="C1" s="5" t="str">
        <x:v>Priority</x:v>
      </x:c>
      <x:c r="D1" s="5" t="str">
        <x:v>Acceptance_Criterion</x:v>
      </x:c>
      <x:c r="E1" s="5" t="str">
        <x:v>Test_Ref</x:v>
      </x:c>
      <x:c r="F1" s="5" t="str">
        <x:v>W16_Status</x:v>
      </x:c>
      <x:c r="G1" s="5" t="str">
        <x:v>W17_Simulated_Status</x:v>
      </x:c>
      <x:c r="H1" s="5" t="str">
        <x:v>Owner</x:v>
      </x:c>
    </x:row>
    <x:row r="2" ht="34" customHeight="1">
      <x:c r="A2" s="10" t="str">
        <x:v>REQ-01</x:v>
      </x:c>
      <x:c r="B2" s="10" t="str">
        <x:v>School profile and authorized users</x:v>
      </x:c>
      <x:c r="C2" s="10" t="str">
        <x:v>Must</x:v>
      </x:c>
      <x:c r="D2" s="10" t="str">
        <x:v>Users isolated to permitted schools</x:v>
      </x:c>
      <x:c r="E2" s="10" t="str">
        <x:v>UAT-01</x:v>
      </x:c>
      <x:c r="F2" s="10" t="str">
        <x:v>Pass</x:v>
      </x:c>
      <x:c r="G2" s="10" t="str">
        <x:v>Pass</x:v>
      </x:c>
      <x:c r="H2" s="10" t="str">
        <x:v>Business Owner</x:v>
      </x:c>
    </x:row>
    <x:row r="3" ht="34" customHeight="1">
      <x:c r="A3" s="10" t="str">
        <x:v>REQ-02</x:v>
      </x:c>
      <x:c r="B3" s="10" t="str">
        <x:v>Candidate form and mandatory fields</x:v>
      </x:c>
      <x:c r="C3" s="10" t="str">
        <x:v>Must</x:v>
      </x:c>
      <x:c r="D3" s="10" t="str">
        <x:v>Required fields enforced</x:v>
      </x:c>
      <x:c r="E3" s="10" t="str">
        <x:v>UAT-02</x:v>
      </x:c>
      <x:c r="F3" s="10" t="str">
        <x:v>Pass</x:v>
      </x:c>
      <x:c r="G3" s="10" t="str">
        <x:v>Pass</x:v>
      </x:c>
      <x:c r="H3" s="10" t="str">
        <x:v>Business Owner</x:v>
      </x:c>
    </x:row>
    <x:row r="4" ht="34" customHeight="1">
      <x:c r="A4" s="10" t="str">
        <x:v>REQ-03</x:v>
      </x:c>
      <x:c r="B4" s="10" t="str">
        <x:v>Exam selection</x:v>
      </x:c>
      <x:c r="C4" s="10" t="str">
        <x:v>Must</x:v>
      </x:c>
      <x:c r="D4" s="10" t="str">
        <x:v>Only eligible selections allowed</x:v>
      </x:c>
      <x:c r="E4" s="10" t="str">
        <x:v>UAT-03</x:v>
      </x:c>
      <x:c r="F4" s="10" t="str">
        <x:v>Pass</x:v>
      </x:c>
      <x:c r="G4" s="10" t="str">
        <x:v>Pass</x:v>
      </x:c>
      <x:c r="H4" s="10" t="str">
        <x:v>Business Owner</x:v>
      </x:c>
    </x:row>
    <x:row r="5" ht="34" customHeight="1">
      <x:c r="A5" s="10" t="str">
        <x:v>REQ-04</x:v>
      </x:c>
      <x:c r="B5" s="10" t="str">
        <x:v>Duplicate record validation</x:v>
      </x:c>
      <x:c r="C5" s="10" t="str">
        <x:v>Must</x:v>
      </x:c>
      <x:c r="D5" s="10" t="str">
        <x:v>Duplicates rejected or quarantined</x:v>
      </x:c>
      <x:c r="E5" s="10" t="str">
        <x:v>UAT-04</x:v>
      </x:c>
      <x:c r="F5" s="10" t="str">
        <x:v>Fail P1</x:v>
      </x:c>
      <x:c r="G5" s="10" t="str">
        <x:v>Pass</x:v>
      </x:c>
      <x:c r="H5" s="10" t="str">
        <x:v>Business Owner</x:v>
      </x:c>
    </x:row>
    <x:row r="6" ht="34" customHeight="1">
      <x:c r="A6" s="10" t="str">
        <x:v>REQ-05</x:v>
      </x:c>
      <x:c r="B6" s="10" t="str">
        <x:v>Registration confirmation</x:v>
      </x:c>
      <x:c r="C6" s="10" t="str">
        <x:v>Must</x:v>
      </x:c>
      <x:c r="D6" s="10" t="str">
        <x:v>Stable confirmation ID generated</x:v>
      </x:c>
      <x:c r="E6" s="10" t="str">
        <x:v>UAT-05</x:v>
      </x:c>
      <x:c r="F6" s="10" t="str">
        <x:v>Pass</x:v>
      </x:c>
      <x:c r="G6" s="10" t="str">
        <x:v>Pass</x:v>
      </x:c>
      <x:c r="H6" s="10" t="str">
        <x:v>Business Owner</x:v>
      </x:c>
    </x:row>
    <x:row r="7" ht="34" customHeight="1">
      <x:c r="A7" s="10" t="str">
        <x:v>REQ-06</x:v>
      </x:c>
      <x:c r="B7" s="10" t="str">
        <x:v>Access controls and audit</x:v>
      </x:c>
      <x:c r="C7" s="10" t="str">
        <x:v>Must</x:v>
      </x:c>
      <x:c r="D7" s="10" t="str">
        <x:v>Unauthorized access denied and logged</x:v>
      </x:c>
      <x:c r="E7" s="10" t="str">
        <x:v>UAT-06</x:v>
      </x:c>
      <x:c r="F7" s="10" t="str">
        <x:v>Pass</x:v>
      </x:c>
      <x:c r="G7" s="10" t="str">
        <x:v>Pass</x:v>
      </x:c>
      <x:c r="H7" s="10" t="str">
        <x:v>Business Owner</x:v>
      </x:c>
    </x:row>
    <x:row r="8" ht="34" customHeight="1">
      <x:c r="A8" s="10" t="str">
        <x:v>REQ-07</x:v>
      </x:c>
      <x:c r="B8" s="10" t="str">
        <x:v>Operational export</x:v>
      </x:c>
      <x:c r="C8" s="10" t="str">
        <x:v>Should</x:v>
      </x:c>
      <x:c r="D8" s="10" t="str">
        <x:v>Report reconciles with accepted records</x:v>
      </x:c>
      <x:c r="E8" s="10" t="str">
        <x:v>UAT-07</x:v>
      </x:c>
      <x:c r="F8" s="10" t="str">
        <x:v>Pass</x:v>
      </x:c>
      <x:c r="G8" s="10" t="str">
        <x:v>Pass</x:v>
      </x:c>
      <x:c r="H8" s="10" t="str">
        <x:v>Business Owner</x:v>
      </x:c>
    </x:row>
    <x:row r="9" ht="34" customHeight="1">
      <x:c r="A9" s="10" t="str">
        <x:v>REQ-08</x:v>
      </x:c>
      <x:c r="B9" s="10" t="str">
        <x:v>Validated legacy roster import</x:v>
      </x:c>
      <x:c r="C9" s="10" t="str">
        <x:v>Should</x:v>
      </x:c>
      <x:c r="D9" s="10" t="str">
        <x:v>Exception reporting and reconcilable totals</x:v>
      </x:c>
      <x:c r="E9" s="10" t="str">
        <x:v>UAT-08</x:v>
      </x:c>
      <x:c r="F9" s="10" t="str">
        <x:v>Blocked</x:v>
      </x:c>
      <x:c r="G9" s="10" t="str">
        <x:v>Pass</x:v>
      </x:c>
      <x:c r="H9" s="10" t="str">
        <x:v>Business Owner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2" customHeight="1">
      <x:c r="A1" s="5" t="str">
        <x:v>Test_ID</x:v>
      </x:c>
      <x:c r="B1" s="5" t="str">
        <x:v>Requirement_ID</x:v>
      </x:c>
      <x:c r="C1" s="5" t="str">
        <x:v>Scenario</x:v>
      </x:c>
      <x:c r="D1" s="5" t="str">
        <x:v>Expected_Result</x:v>
      </x:c>
      <x:c r="E1" s="5" t="str">
        <x:v>W16_Result</x:v>
      </x:c>
      <x:c r="F1" s="5" t="str">
        <x:v>W17_Result</x:v>
      </x:c>
      <x:c r="G1" s="5" t="str">
        <x:v>Severity_if_Failed</x:v>
      </x:c>
      <x:c r="H1" s="5" t="str">
        <x:v>Evidence</x:v>
      </x:c>
    </x:row>
    <x:row r="2" ht="34" customHeight="1">
      <x:c r="A2" s="10" t="str">
        <x:v>UAT-01</x:v>
      </x:c>
      <x:c r="B2" s="10" t="str">
        <x:v>REQ-01</x:v>
      </x:c>
      <x:c r="C2" s="10" t="str">
        <x:v>School user opens candidate from another school</x:v>
      </x:c>
      <x:c r="D2" s="10" t="str">
        <x:v>Access denied</x:v>
      </x:c>
      <x:c r="E2" s="10" t="str">
        <x:v>Pass</x:v>
      </x:c>
      <x:c r="F2" s="10" t="str">
        <x:v>Pass</x:v>
      </x:c>
      <x:c r="G2" s="10" t="str">
        <x:v>P1</x:v>
      </x:c>
      <x:c r="H2" s="10" t="str">
        <x:v>SYN-001</x:v>
      </x:c>
    </x:row>
    <x:row r="3" ht="34" customHeight="1">
      <x:c r="A3" s="10" t="str">
        <x:v>UAT-02</x:v>
      </x:c>
      <x:c r="B3" s="10" t="str">
        <x:v>REQ-02</x:v>
      </x:c>
      <x:c r="C3" s="10" t="str">
        <x:v>Submit with missing required identity field</x:v>
      </x:c>
      <x:c r="D3" s="10" t="str">
        <x:v>Block with message</x:v>
      </x:c>
      <x:c r="E3" s="10" t="str">
        <x:v>Pass</x:v>
      </x:c>
      <x:c r="F3" s="10" t="str">
        <x:v>Pass</x:v>
      </x:c>
      <x:c r="G3" s="10" t="str">
        <x:v>P2</x:v>
      </x:c>
      <x:c r="H3" s="10" t="str">
        <x:v>SYN-002</x:v>
      </x:c>
    </x:row>
    <x:row r="4" ht="34" customHeight="1">
      <x:c r="A4" s="10" t="str">
        <x:v>UAT-03</x:v>
      </x:c>
      <x:c r="B4" s="10" t="str">
        <x:v>REQ-03</x:v>
      </x:c>
      <x:c r="C4" s="10" t="str">
        <x:v>Select ineligible examination</x:v>
      </x:c>
      <x:c r="D4" s="10" t="str">
        <x:v>Selection rejected</x:v>
      </x:c>
      <x:c r="E4" s="10" t="str">
        <x:v>Pass</x:v>
      </x:c>
      <x:c r="F4" s="10" t="str">
        <x:v>Pass</x:v>
      </x:c>
      <x:c r="G4" s="10" t="str">
        <x:v>P2</x:v>
      </x:c>
      <x:c r="H4" s="10" t="str">
        <x:v>SYN-003</x:v>
      </x:c>
    </x:row>
    <x:row r="5" ht="34" customHeight="1">
      <x:c r="A5" s="10" t="str">
        <x:v>UAT-04</x:v>
      </x:c>
      <x:c r="B5" s="10" t="str">
        <x:v>REQ-04</x:v>
      </x:c>
      <x:c r="C5" s="10" t="str">
        <x:v>Import duplicate candidate identifier</x:v>
      </x:c>
      <x:c r="D5" s="10" t="str">
        <x:v>Quarantine and log duplicate</x:v>
      </x:c>
      <x:c r="E5" s="10" t="str">
        <x:v>Fail</x:v>
      </x:c>
      <x:c r="F5" s="10" t="str">
        <x:v>Pass</x:v>
      </x:c>
      <x:c r="G5" s="10" t="str">
        <x:v>P1</x:v>
      </x:c>
      <x:c r="H5" s="10" t="str">
        <x:v>SYN-004</x:v>
      </x:c>
    </x:row>
    <x:row r="6" ht="34" customHeight="1">
      <x:c r="A6" s="10" t="str">
        <x:v>UAT-05</x:v>
      </x:c>
      <x:c r="B6" s="10" t="str">
        <x:v>REQ-05</x:v>
      </x:c>
      <x:c r="C6" s="10" t="str">
        <x:v>Complete successful enrolment</x:v>
      </x:c>
      <x:c r="D6" s="10" t="str">
        <x:v>Issue repeatable confirmation</x:v>
      </x:c>
      <x:c r="E6" s="10" t="str">
        <x:v>Pass</x:v>
      </x:c>
      <x:c r="F6" s="10" t="str">
        <x:v>Pass</x:v>
      </x:c>
      <x:c r="G6" s="10" t="str">
        <x:v>P2</x:v>
      </x:c>
      <x:c r="H6" s="10" t="str">
        <x:v>SYN-005</x:v>
      </x:c>
    </x:row>
    <x:row r="7" ht="34" customHeight="1">
      <x:c r="A7" s="10" t="str">
        <x:v>UAT-06</x:v>
      </x:c>
      <x:c r="B7" s="10" t="str">
        <x:v>REQ-06</x:v>
      </x:c>
      <x:c r="C7" s="10" t="str">
        <x:v>Attempt unprivileged update</x:v>
      </x:c>
      <x:c r="D7" s="10" t="str">
        <x:v>Deny and audit</x:v>
      </x:c>
      <x:c r="E7" s="10" t="str">
        <x:v>Pass</x:v>
      </x:c>
      <x:c r="F7" s="10" t="str">
        <x:v>Pass</x:v>
      </x:c>
      <x:c r="G7" s="10" t="str">
        <x:v>P1</x:v>
      </x:c>
      <x:c r="H7" s="10" t="str">
        <x:v>SYN-006</x:v>
      </x:c>
    </x:row>
    <x:row r="8" ht="34" customHeight="1">
      <x:c r="A8" s="10" t="str">
        <x:v>UAT-07</x:v>
      </x:c>
      <x:c r="B8" s="10" t="str">
        <x:v>REQ-07</x:v>
      </x:c>
      <x:c r="C8" s="10" t="str">
        <x:v>Export accepted enrolments</x:v>
      </x:c>
      <x:c r="D8" s="10" t="str">
        <x:v>Reconciled counts</x:v>
      </x:c>
      <x:c r="E8" s="10" t="str">
        <x:v>Pass</x:v>
      </x:c>
      <x:c r="F8" s="10" t="str">
        <x:v>Pass</x:v>
      </x:c>
      <x:c r="G8" s="10" t="str">
        <x:v>P2</x:v>
      </x:c>
      <x:c r="H8" s="10" t="str">
        <x:v>SYN-007</x:v>
      </x:c>
    </x:row>
    <x:row r="9" ht="34" customHeight="1">
      <x:c r="A9" s="10" t="str">
        <x:v>UAT-08</x:v>
      </x:c>
      <x:c r="B9" s="10" t="str">
        <x:v>REQ-08</x:v>
      </x:c>
      <x:c r="C9" s="10" t="str">
        <x:v>Import legacy sample roster</x:v>
      </x:c>
      <x:c r="D9" s="10" t="str">
        <x:v>Matched totals; exceptions logged</x:v>
      </x:c>
      <x:c r="E9" s="10" t="str">
        <x:v>Blocked</x:v>
      </x:c>
      <x:c r="F9" s="10" t="str">
        <x:v>Pass</x:v>
      </x:c>
      <x:c r="G9" s="10" t="str">
        <x:v>P1</x:v>
      </x:c>
      <x:c r="H9" s="10" t="str">
        <x:v>SYN-008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</x:cols>
  <x:sheetData>
    <x:row r="1" ht="32" customHeight="1">
      <x:c r="A1" s="5" t="str">
        <x:v>Role</x:v>
      </x:c>
      <x:c r="B1" s="5" t="str">
        <x:v>Influence</x:v>
      </x:c>
      <x:c r="C1" s="5" t="str">
        <x:v>Interest</x:v>
      </x:c>
      <x:c r="D1" s="5" t="str">
        <x:v>Primary_Need</x:v>
      </x:c>
      <x:c r="E1" s="5" t="str">
        <x:v>Engagement_Strategy</x:v>
      </x:c>
      <x:c r="F1" s="5" t="str">
        <x:v>Cadence</x:v>
      </x:c>
    </x:row>
    <x:row r="2" ht="34" customHeight="1">
      <x:c r="A2" s="10" t="str">
        <x:v>Sponsor</x:v>
      </x:c>
      <x:c r="B2" s="10" t="str">
        <x:v>High</x:v>
      </x:c>
      <x:c r="C2" s="10" t="str">
        <x:v>High</x:v>
      </x:c>
      <x:c r="D2" s="10" t="str">
        <x:v>Business outcomes; budget; gates</x:v>
      </x:c>
      <x:c r="E2" s="10" t="str">
        <x:v>Manage closely; decision brief</x:v>
      </x:c>
      <x:c r="F2" s="10" t="str">
        <x:v>Biweekly + critical issue</x:v>
      </x:c>
    </x:row>
    <x:row r="3" ht="34" customHeight="1">
      <x:c r="A3" s="10" t="str">
        <x:v>Business Owner</x:v>
      </x:c>
      <x:c r="B3" s="10" t="str">
        <x:v>High</x:v>
      </x:c>
      <x:c r="C3" s="10" t="str">
        <x:v>High</x:v>
      </x:c>
      <x:c r="D3" s="10" t="str">
        <x:v>Usable workflows; acceptance</x:v>
      </x:c>
      <x:c r="E3" s="10" t="str">
        <x:v>Workshops; UAT; signoff</x:v>
      </x:c>
      <x:c r="F3" s="10" t="str">
        <x:v>Weekly</x:v>
      </x:c>
    </x:row>
    <x:row r="4" ht="34" customHeight="1">
      <x:c r="A4" s="10" t="str">
        <x:v>School Representatives</x:v>
      </x:c>
      <x:c r="B4" s="10" t="str">
        <x:v>Medium</x:v>
      </x:c>
      <x:c r="C4" s="10" t="str">
        <x:v>High</x:v>
      </x:c>
      <x:c r="D4" s="10" t="str">
        <x:v>Usable registration and training</x:v>
      </x:c>
      <x:c r="E4" s="10" t="str">
        <x:v>Pilot champions; demos</x:v>
      </x:c>
      <x:c r="F4" s="10" t="str">
        <x:v>At milestones</x:v>
      </x:c>
    </x:row>
    <x:row r="5" ht="34" customHeight="1">
      <x:c r="A5" s="10" t="str">
        <x:v>Technical Lead</x:v>
      </x:c>
      <x:c r="B5" s="10" t="str">
        <x:v>High</x:v>
      </x:c>
      <x:c r="C5" s="10" t="str">
        <x:v>High</x:v>
      </x:c>
      <x:c r="D5" s="10" t="str">
        <x:v>Feasible design and dependencies</x:v>
      </x:c>
      <x:c r="E5" s="10" t="str">
        <x:v>Integrated review; decision input</x:v>
      </x:c>
      <x:c r="F5" s="10" t="str">
        <x:v>Daily + weekly</x:v>
      </x:c>
    </x:row>
    <x:row r="6" ht="34" customHeight="1">
      <x:c r="A6" s="10" t="str">
        <x:v>QA Lead</x:v>
      </x:c>
      <x:c r="B6" s="10" t="str">
        <x:v>High</x:v>
      </x:c>
      <x:c r="C6" s="10" t="str">
        <x:v>High</x:v>
      </x:c>
      <x:c r="D6" s="10" t="str">
        <x:v>Test evidence; exit criteria</x:v>
      </x:c>
      <x:c r="E6" s="10" t="str">
        <x:v>Defect triage and quality gate</x:v>
      </x:c>
      <x:c r="F6" s="10" t="str">
        <x:v>Daily in UAT</x:v>
      </x:c>
    </x:row>
    <x:row r="7" ht="34" customHeight="1">
      <x:c r="A7" s="10" t="str">
        <x:v>Data Lead</x:v>
      </x:c>
      <x:c r="B7" s="10" t="str">
        <x:v>Medium</x:v>
      </x:c>
      <x:c r="C7" s="10" t="str">
        <x:v>High</x:v>
      </x:c>
      <x:c r="D7" s="10" t="str">
        <x:v>Mapping and reconciliation</x:v>
      </x:c>
      <x:c r="E7" s="10" t="str">
        <x:v>Migration reviews</x:v>
      </x:c>
      <x:c r="F7" s="10" t="str">
        <x:v>Weekly; daily during cutover</x:v>
      </x:c>
    </x:row>
    <x:row r="8" ht="34" customHeight="1">
      <x:c r="A8" s="10" t="str">
        <x:v>Operations Lead</x:v>
      </x:c>
      <x:c r="B8" s="10" t="str">
        <x:v>High</x:v>
      </x:c>
      <x:c r="C8" s="10" t="str">
        <x:v>High</x:v>
      </x:c>
      <x:c r="D8" s="10" t="str">
        <x:v>Supportable release and handover</x:v>
      </x:c>
      <x:c r="E8" s="10" t="str">
        <x:v>Readiness and hypercare reviews</x:v>
      </x:c>
      <x:c r="F8" s="10" t="str">
        <x:v>Weekly from W14</x:v>
      </x:c>
    </x:row>
    <x:row r="9" ht="34" customHeight="1">
      <x:c r="A9" s="10" t="str">
        <x:v>Change Lead</x:v>
      </x:c>
      <x:c r="B9" s="10" t="str">
        <x:v>Medium</x:v>
      </x:c>
      <x:c r="C9" s="10" t="str">
        <x:v>Medium</x:v>
      </x:c>
      <x:c r="D9" s="10" t="str">
        <x:v>Training and communication</x:v>
      </x:c>
      <x:c r="E9" s="10" t="str">
        <x:v>Adoption tracking</x:v>
      </x:c>
      <x:c r="F9" s="10" t="str">
        <x:v>Weekly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2" customHeight="1">
      <x:c r="A1" s="5" t="str">
        <x:v>Activity</x:v>
      </x:c>
      <x:c r="B1" s="5" t="str">
        <x:v>Sponsor</x:v>
      </x:c>
      <x:c r="C1" s="5" t="str">
        <x:v>Business_Owner</x:v>
      </x:c>
      <x:c r="D1" s="5" t="str">
        <x:v>Project_Manager</x:v>
      </x:c>
      <x:c r="E1" s="5" t="str">
        <x:v>Technical_Lead</x:v>
      </x:c>
      <x:c r="F1" s="5" t="str">
        <x:v>QA_Lead</x:v>
      </x:c>
      <x:c r="G1" s="5" t="str">
        <x:v>Data_Lead</x:v>
      </x:c>
      <x:c r="H1" s="5" t="str">
        <x:v>Operations_Lead</x:v>
      </x:c>
      <x:c r="I1" s="5" t="str">
        <x:v>Change_Lead</x:v>
      </x:c>
    </x:row>
    <x:row r="2" ht="34" customHeight="1">
      <x:c r="A2" s="10" t="str">
        <x:v>Approve project baseline</x:v>
      </x:c>
      <x:c r="B2" s="10" t="str">
        <x:v>A</x:v>
      </x:c>
      <x:c r="C2" s="10" t="str">
        <x:v>C</x:v>
      </x:c>
      <x:c r="D2" s="10" t="str">
        <x:v>R</x:v>
      </x:c>
      <x:c r="E2" s="10" t="str">
        <x:v>C</x:v>
      </x:c>
      <x:c r="F2" s="10" t="str">
        <x:v>I</x:v>
      </x:c>
      <x:c r="G2" s="10" t="str">
        <x:v>I</x:v>
      </x:c>
      <x:c r="H2" s="10" t="str">
        <x:v>I</x:v>
      </x:c>
      <x:c r="I2" s="10" t="str">
        <x:v>I</x:v>
      </x:c>
    </x:row>
    <x:row r="3" ht="34" customHeight="1">
      <x:c r="A3" s="10" t="str">
        <x:v>Sign off business requirements</x:v>
      </x:c>
      <x:c r="B3" s="10" t="str">
        <x:v>I</x:v>
      </x:c>
      <x:c r="C3" s="10" t="str">
        <x:v>A</x:v>
      </x:c>
      <x:c r="D3" s="10" t="str">
        <x:v>C</x:v>
      </x:c>
      <x:c r="E3" s="10" t="str">
        <x:v>C</x:v>
      </x:c>
      <x:c r="F3" s="10" t="str">
        <x:v>C</x:v>
      </x:c>
      <x:c r="G3" s="10" t="str">
        <x:v>I</x:v>
      </x:c>
      <x:c r="H3" s="10" t="str">
        <x:v>I</x:v>
      </x:c>
      <x:c r="I3" s="10" t="str">
        <x:v>I</x:v>
      </x:c>
    </x:row>
    <x:row r="4" ht="34" customHeight="1">
      <x:c r="A4" s="10" t="str">
        <x:v>Maintain integrated schedule and RAID</x:v>
      </x:c>
      <x:c r="B4" s="10" t="str">
        <x:v>I</x:v>
      </x:c>
      <x:c r="C4" s="10" t="str">
        <x:v>C</x:v>
      </x:c>
      <x:c r="D4" s="10" t="str">
        <x:v>A/R</x:v>
      </x:c>
      <x:c r="E4" s="10" t="str">
        <x:v>C</x:v>
      </x:c>
      <x:c r="F4" s="10" t="str">
        <x:v>C</x:v>
      </x:c>
      <x:c r="G4" s="10" t="str">
        <x:v>C</x:v>
      </x:c>
      <x:c r="H4" s="10" t="str">
        <x:v>C</x:v>
      </x:c>
      <x:c r="I4" s="10" t="str">
        <x:v>C</x:v>
      </x:c>
    </x:row>
    <x:row r="5" ht="34" customHeight="1">
      <x:c r="A5" s="10" t="str">
        <x:v>Approve technical design</x:v>
      </x:c>
      <x:c r="B5" s="10" t="str">
        <x:v>I</x:v>
      </x:c>
      <x:c r="C5" s="10" t="str">
        <x:v>C</x:v>
      </x:c>
      <x:c r="D5" s="10" t="str">
        <x:v>I</x:v>
      </x:c>
      <x:c r="E5" s="10" t="str">
        <x:v>A/R</x:v>
      </x:c>
      <x:c r="F5" s="10" t="str">
        <x:v>C</x:v>
      </x:c>
      <x:c r="G5" s="10" t="str">
        <x:v>C</x:v>
      </x:c>
      <x:c r="H5" s="10" t="str">
        <x:v>C</x:v>
      </x:c>
      <x:c r="I5" s="10" t="str">
        <x:v>I</x:v>
      </x:c>
    </x:row>
    <x:row r="6" ht="34" customHeight="1">
      <x:c r="A6" s="10" t="str">
        <x:v>Approve UAT acceptance</x:v>
      </x:c>
      <x:c r="B6" s="10" t="str">
        <x:v>I</x:v>
      </x:c>
      <x:c r="C6" s="10" t="str">
        <x:v>A</x:v>
      </x:c>
      <x:c r="D6" s="10" t="str">
        <x:v>C</x:v>
      </x:c>
      <x:c r="E6" s="10" t="str">
        <x:v>C</x:v>
      </x:c>
      <x:c r="F6" s="10" t="str">
        <x:v>R</x:v>
      </x:c>
      <x:c r="G6" s="10" t="str">
        <x:v>C</x:v>
      </x:c>
      <x:c r="H6" s="10" t="str">
        <x:v>C</x:v>
      </x:c>
      <x:c r="I6" s="10" t="str">
        <x:v>I</x:v>
      </x:c>
    </x:row>
    <x:row r="7" ht="34" customHeight="1">
      <x:c r="A7" s="10" t="str">
        <x:v>Approve contingency draw</x:v>
      </x:c>
      <x:c r="B7" s="10" t="str">
        <x:v>A</x:v>
      </x:c>
      <x:c r="C7" s="10" t="str">
        <x:v>C</x:v>
      </x:c>
      <x:c r="D7" s="10" t="str">
        <x:v>R</x:v>
      </x:c>
      <x:c r="E7" s="10" t="str">
        <x:v>C</x:v>
      </x:c>
      <x:c r="F7" s="10" t="str">
        <x:v>C</x:v>
      </x:c>
      <x:c r="G7" s="10" t="str">
        <x:v>C</x:v>
      </x:c>
      <x:c r="H7" s="10" t="str">
        <x:v>I</x:v>
      </x:c>
      <x:c r="I7" s="10" t="str">
        <x:v>I</x:v>
      </x:c>
    </x:row>
    <x:row r="8" ht="34" customHeight="1">
      <x:c r="A8" s="10" t="str">
        <x:v>Execute migration</x:v>
      </x:c>
      <x:c r="B8" s="10" t="str">
        <x:v>I</x:v>
      </x:c>
      <x:c r="C8" s="10" t="str">
        <x:v>C</x:v>
      </x:c>
      <x:c r="D8" s="10" t="str">
        <x:v>C</x:v>
      </x:c>
      <x:c r="E8" s="10" t="str">
        <x:v>C</x:v>
      </x:c>
      <x:c r="F8" s="10" t="str">
        <x:v>C</x:v>
      </x:c>
      <x:c r="G8" s="10" t="str">
        <x:v>A/R</x:v>
      </x:c>
      <x:c r="H8" s="10" t="str">
        <x:v>C</x:v>
      </x:c>
      <x:c r="I8" s="10" t="str">
        <x:v>I</x:v>
      </x:c>
    </x:row>
    <x:row r="9" ht="34" customHeight="1">
      <x:c r="A9" s="10" t="str">
        <x:v>Authorize go/no-go</x:v>
      </x:c>
      <x:c r="B9" s="10" t="str">
        <x:v>A</x:v>
      </x:c>
      <x:c r="C9" s="10" t="str">
        <x:v>R</x:v>
      </x:c>
      <x:c r="D9" s="10" t="str">
        <x:v>C</x:v>
      </x:c>
      <x:c r="E9" s="10" t="str">
        <x:v>C</x:v>
      </x:c>
      <x:c r="F9" s="10" t="str">
        <x:v>C</x:v>
      </x:c>
      <x:c r="G9" s="10" t="str">
        <x:v>C</x:v>
      </x:c>
      <x:c r="H9" s="10" t="str">
        <x:v>R</x:v>
      </x:c>
      <x:c r="I9" s="10" t="str">
        <x:v>I</x:v>
      </x:c>
    </x:row>
    <x:row r="10" ht="34" customHeight="1">
      <x:c r="A10" s="10" t="str">
        <x:v>Accept operational handover</x:v>
      </x:c>
      <x:c r="B10" s="10" t="str">
        <x:v>I</x:v>
      </x:c>
      <x:c r="C10" s="10" t="str">
        <x:v>C</x:v>
      </x:c>
      <x:c r="D10" s="10" t="str">
        <x:v>C</x:v>
      </x:c>
      <x:c r="E10" s="10" t="str">
        <x:v>C</x:v>
      </x:c>
      <x:c r="F10" s="10" t="str">
        <x:v>C</x:v>
      </x:c>
      <x:c r="G10" s="10" t="str">
        <x:v>C</x:v>
      </x:c>
      <x:c r="H10" s="10" t="str">
        <x:v>A/R</x:v>
      </x:c>
      <x:c r="I10" s="10" t="str">
        <x:v>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2" customHeight="1">
      <x:c r="A1" s="5" t="str">
        <x:v>ID</x:v>
      </x:c>
      <x:c r="B1" s="5" t="str">
        <x:v>Record_Type</x:v>
      </x:c>
      <x:c r="C1" s="5" t="str">
        <x:v>Raised_Week</x:v>
      </x:c>
      <x:c r="D1" s="5" t="str">
        <x:v>Description</x:v>
      </x:c>
      <x:c r="E1" s="5" t="str">
        <x:v>Decision_Owner</x:v>
      </x:c>
      <x:c r="F1" s="5" t="str">
        <x:v>Status</x:v>
      </x:c>
      <x:c r="G1" s="5" t="str">
        <x:v>Cost_Impact_CAD</x:v>
      </x:c>
      <x:c r="H1" s="5" t="str">
        <x:v>Schedule_Impact</x:v>
      </x:c>
      <x:c r="I1" s="5" t="str">
        <x:v>Linked_Item</x:v>
      </x:c>
    </x:row>
    <x:row r="2" ht="34" customHeight="1">
      <x:c r="A2" s="10" t="str">
        <x:v>DEC-01</x:v>
      </x:c>
      <x:c r="B2" s="10" t="str">
        <x:v>Decision</x:v>
      </x:c>
      <x:c r="C2" s="10" t="n">
        <x:v>5</x:v>
      </x:c>
      <x:c r="D2" s="10" t="str">
        <x:v>Approve 24-week baseline and CAD 240000 total ceiling</x:v>
      </x:c>
      <x:c r="E2" s="10" t="str">
        <x:v>Sponsor</x:v>
      </x:c>
      <x:c r="F2" s="10" t="str">
        <x:v>Approved (simulation)</x:v>
      </x:c>
      <x:c r="G2" s="10" t="n">
        <x:v>0</x:v>
      </x:c>
      <x:c r="H2" s="10" t="str">
        <x:v>Baseline agreed</x:v>
      </x:c>
      <x:c r="I2" s="10" t="str">
        <x:v>M-02</x:v>
      </x:c>
    </x:row>
    <x:row r="3" ht="34" customHeight="1">
      <x:c r="A3" s="10" t="str">
        <x:v>CHG-01</x:v>
      </x:c>
      <x:c r="B3" s="10" t="str">
        <x:v>Change</x:v>
      </x:c>
      <x:c r="C3" s="10" t="n">
        <x:v>16</x:v>
      </x:c>
      <x:c r="D3" s="10" t="str">
        <x:v>Targeted mapping remediation and QA retest within existing scope</x:v>
      </x:c>
      <x:c r="E3" s="10" t="str">
        <x:v>Sponsor</x:v>
      </x:c>
      <x:c r="F3" s="10" t="str">
        <x:v>Approved (simulation)</x:v>
      </x:c>
      <x:c r="G3" s="10" t="n">
        <x:v>8000</x:v>
      </x:c>
      <x:c r="H3" s="10" t="str">
        <x:v>No rebaseline; W17 gated</x:v>
      </x:c>
      <x:c r="I3" s="10" t="str">
        <x:v>I-01</x:v>
      </x:c>
    </x:row>
    <x:row r="4" ht="34" customHeight="1">
      <x:c r="A4" s="10" t="str">
        <x:v>DEC-02</x:v>
      </x:c>
      <x:c r="B4" s="10" t="str">
        <x:v>Decision</x:v>
      </x:c>
      <x:c r="C4" s="10" t="n">
        <x:v>16</x:v>
      </x:c>
      <x:c r="D4" s="10" t="str">
        <x:v>Approve 8000 contingency draw; preserve quality gate</x:v>
      </x:c>
      <x:c r="E4" s="10" t="str">
        <x:v>Sponsor</x:v>
      </x:c>
      <x:c r="F4" s="10" t="str">
        <x:v>Approved (simulation)</x:v>
      </x:c>
      <x:c r="G4" s="10" t="n">
        <x:v>8000</x:v>
      </x:c>
      <x:c r="H4" s="10" t="str">
        <x:v>W18 still conditional</x:v>
      </x:c>
      <x:c r="I4" s="10" t="str">
        <x:v>CHG-01</x:v>
      </x:c>
    </x:row>
    <x:row r="5" ht="34" customHeight="1">
      <x:c r="A5" s="10" t="str">
        <x:v>DEC-03</x:v>
      </x:c>
      <x:c r="B5" s="10" t="str">
        <x:v>Decision</x:v>
      </x:c>
      <x:c r="C5" s="10" t="n">
        <x:v>17</x:v>
      </x:c>
      <x:c r="D5" s="10" t="str">
        <x:v>Approve pilot only after 180 of 180 UAT cases pass and Ops review</x:v>
      </x:c>
      <x:c r="E5" s="10" t="str">
        <x:v>Sponsor</x:v>
      </x:c>
      <x:c r="F5" s="10" t="str">
        <x:v>Approved (simulation)</x:v>
      </x:c>
      <x:c r="G5" s="10" t="n">
        <x:v>0</x:v>
      </x:c>
      <x:c r="H5" s="10" t="str">
        <x:v>Pilot W18</x:v>
      </x:c>
      <x:c r="I5" s="10" t="str">
        <x:v>M-04</x:v>
      </x:c>
    </x:row>
    <x:row r="6" ht="34" customHeight="1">
      <x:c r="A6" s="10" t="str">
        <x:v>DEC-04</x:v>
      </x:c>
      <x:c r="B6" s="10" t="str">
        <x:v>Decision</x:v>
      </x:c>
      <x:c r="C6" s="10" t="n">
        <x:v>20</x:v>
      </x:c>
      <x:c r="D6" s="10" t="str">
        <x:v>Approve 40-school expansion after pilot review</x:v>
      </x:c>
      <x:c r="E6" s="10" t="str">
        <x:v>Sponsor</x:v>
      </x:c>
      <x:c r="F6" s="10" t="str">
        <x:v>Approved (simulation)</x:v>
      </x:c>
      <x:c r="G6" s="10" t="n">
        <x:v>0</x:v>
      </x:c>
      <x:c r="H6" s="10" t="str">
        <x:v>Expansion W21</x:v>
      </x:c>
      <x:c r="I6" s="10" t="str">
        <x:v>M-06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  <x:col min="7" max="7" width="25" hidden="0" customWidth="1"/>
  </x:cols>
  <x:sheetData>
    <x:row r="1" ht="32" customHeight="1">
      <x:c r="A1" s="5" t="str">
        <x:v>Action_ID</x:v>
      </x:c>
      <x:c r="B1" s="5" t="str">
        <x:v>Raised_Week</x:v>
      </x:c>
      <x:c r="C1" s="5" t="str">
        <x:v>Action</x:v>
      </x:c>
      <x:c r="D1" s="5" t="str">
        <x:v>Owner</x:v>
      </x:c>
      <x:c r="E1" s="5" t="str">
        <x:v>Due_Week</x:v>
      </x:c>
      <x:c r="F1" s="5" t="str">
        <x:v>Status_at_W16</x:v>
      </x:c>
      <x:c r="G1" s="5" t="str">
        <x:v>Linked_Record</x:v>
      </x:c>
    </x:row>
    <x:row r="2" ht="34" customHeight="1">
      <x:c r="A2" s="10" t="str">
        <x:v>ACT-01</x:v>
      </x:c>
      <x:c r="B2" s="10" t="n">
        <x:v>16</x:v>
      </x:c>
      <x:c r="C2" s="10" t="str">
        <x:v>Revise duplicate identifier mapping</x:v>
      </x:c>
      <x:c r="D2" s="10" t="str">
        <x:v>Data Lead</x:v>
      </x:c>
      <x:c r="E2" s="10" t="n">
        <x:v>17</x:v>
      </x:c>
      <x:c r="F2" s="10" t="str">
        <x:v>Open</x:v>
      </x:c>
      <x:c r="G2" s="10" t="str">
        <x:v>I-01</x:v>
      </x:c>
    </x:row>
    <x:row r="3" ht="34" customHeight="1">
      <x:c r="A3" s="10" t="str">
        <x:v>ACT-02</x:v>
      </x:c>
      <x:c r="B3" s="10" t="n">
        <x:v>16</x:v>
      </x:c>
      <x:c r="C3" s="10" t="str">
        <x:v>Retest 180 UAT scenarios and report P1 status</x:v>
      </x:c>
      <x:c r="D3" s="10" t="str">
        <x:v>QA Lead</x:v>
      </x:c>
      <x:c r="E3" s="10" t="n">
        <x:v>17</x:v>
      </x:c>
      <x:c r="F3" s="10" t="str">
        <x:v>Open</x:v>
      </x:c>
      <x:c r="G3" s="10" t="str">
        <x:v>I-01</x:v>
      </x:c>
    </x:row>
    <x:row r="4" ht="34" customHeight="1">
      <x:c r="A4" s="10" t="str">
        <x:v>ACT-03</x:v>
      </x:c>
      <x:c r="B4" s="10" t="n">
        <x:v>16</x:v>
      </x:c>
      <x:c r="C4" s="10" t="str">
        <x:v>Escalate contingency request and gate risk</x:v>
      </x:c>
      <x:c r="D4" s="10" t="str">
        <x:v>Project Manager</x:v>
      </x:c>
      <x:c r="E4" s="10" t="n">
        <x:v>16</x:v>
      </x:c>
      <x:c r="F4" s="10" t="str">
        <x:v>Done</x:v>
      </x:c>
      <x:c r="G4" s="10" t="str">
        <x:v>CHG-01</x:v>
      </x:c>
    </x:row>
    <x:row r="5" ht="34" customHeight="1">
      <x:c r="A5" s="10" t="str">
        <x:v>ACT-04</x:v>
      </x:c>
      <x:c r="B5" s="10" t="n">
        <x:v>16</x:v>
      </x:c>
      <x:c r="C5" s="10" t="str">
        <x:v>Verify pilot support and rollback steps</x:v>
      </x:c>
      <x:c r="D5" s="10" t="str">
        <x:v>Operations Lead</x:v>
      </x:c>
      <x:c r="E5" s="10" t="n">
        <x:v>17</x:v>
      </x:c>
      <x:c r="F5" s="10" t="str">
        <x:v>Open</x:v>
      </x:c>
      <x:c r="G5" s="10" t="str">
        <x:v>M-04</x:v>
      </x:c>
    </x:row>
    <x:row r="6" ht="34" customHeight="1">
      <x:c r="A6" s="10" t="str">
        <x:v>ACT-05</x:v>
      </x:c>
      <x:c r="B6" s="10" t="n">
        <x:v>16</x:v>
      </x:c>
      <x:c r="C6" s="10" t="str">
        <x:v>Coordinate school pilot training confirmation</x:v>
      </x:c>
      <x:c r="D6" s="10" t="str">
        <x:v>Change Lead</x:v>
      </x:c>
      <x:c r="E6" s="10" t="n">
        <x:v>17</x:v>
      </x:c>
      <x:c r="F6" s="10" t="str">
        <x:v>In progress</x:v>
      </x:c>
      <x:c r="G6" s="10" t="str">
        <x:v>M-05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  <x:col min="7" max="7" width="25" hidden="0" customWidth="1"/>
  </x:cols>
  <x:sheetData>
    <x:row r="1" ht="32" customHeight="1">
      <x:c r="A1" s="5" t="str">
        <x:v>Check_ID</x:v>
      </x:c>
      <x:c r="B1" s="5" t="str">
        <x:v>Go_Live_Gate</x:v>
      </x:c>
      <x:c r="C1" s="5" t="str">
        <x:v>Check</x:v>
      </x:c>
      <x:c r="D1" s="5" t="str">
        <x:v>Evidence_Owner</x:v>
      </x:c>
      <x:c r="E1" s="5" t="str">
        <x:v>W16_Status</x:v>
      </x:c>
      <x:c r="F1" s="5" t="str">
        <x:v>W17_Scenario_Status</x:v>
      </x:c>
      <x:c r="G1" s="5" t="str">
        <x:v>Notes</x:v>
      </x:c>
    </x:row>
    <x:row r="2" ht="34" customHeight="1">
      <x:c r="A2" s="10" t="str">
        <x:v>G3-01</x:v>
      </x:c>
      <x:c r="B2" s="10" t="str">
        <x:v>W17</x:v>
      </x:c>
      <x:c r="C2" s="10" t="str">
        <x:v>UAT 95 percent or above; zero P0/P1</x:v>
      </x:c>
      <x:c r="D2" s="10" t="str">
        <x:v>QA Lead</x:v>
      </x:c>
      <x:c r="E2" s="10" t="str">
        <x:v>Blocked</x:v>
      </x:c>
      <x:c r="F2" s="10" t="str">
        <x:v>Pass</x:v>
      </x:c>
      <x:c r="G2" s="10" t="str">
        <x:v>180/180 pass W17 in simulation</x:v>
      </x:c>
    </x:row>
    <x:row r="3" ht="34" customHeight="1">
      <x:c r="A3" s="10" t="str">
        <x:v>G3-02</x:v>
      </x:c>
      <x:c r="B3" s="10" t="str">
        <x:v>W17</x:v>
      </x:c>
      <x:c r="C3" s="10" t="str">
        <x:v>Data mappings reconciled and exceptions dispositioned</x:v>
      </x:c>
      <x:c r="D3" s="10" t="str">
        <x:v>Data Lead</x:v>
      </x:c>
      <x:c r="E3" s="10" t="str">
        <x:v>Blocked</x:v>
      </x:c>
      <x:c r="F3" s="10" t="str">
        <x:v>Pass</x:v>
      </x:c>
      <x:c r="G3" s="10" t="str">
        <x:v>REQ-04 and REQ-08</x:v>
      </x:c>
    </x:row>
    <x:row r="4" ht="34" customHeight="1">
      <x:c r="A4" s="10" t="str">
        <x:v>G3-03</x:v>
      </x:c>
      <x:c r="B4" s="10" t="str">
        <x:v>W17</x:v>
      </x:c>
      <x:c r="C4" s="10" t="str">
        <x:v>Role access security tests accepted</x:v>
      </x:c>
      <x:c r="D4" s="10" t="str">
        <x:v>Technical Lead</x:v>
      </x:c>
      <x:c r="E4" s="10" t="str">
        <x:v>In review</x:v>
      </x:c>
      <x:c r="F4" s="10" t="str">
        <x:v>Pass</x:v>
      </x:c>
      <x:c r="G4" s="10" t="str">
        <x:v>Negative tests</x:v>
      </x:c>
    </x:row>
    <x:row r="5" ht="34" customHeight="1">
      <x:c r="A5" s="10" t="str">
        <x:v>G3-04</x:v>
      </x:c>
      <x:c r="B5" s="10" t="str">
        <x:v>W17</x:v>
      </x:c>
      <x:c r="C5" s="10" t="str">
        <x:v>School training and support plan confirmed</x:v>
      </x:c>
      <x:c r="D5" s="10" t="str">
        <x:v>Change Lead</x:v>
      </x:c>
      <x:c r="E5" s="10" t="str">
        <x:v>In progress</x:v>
      </x:c>
      <x:c r="F5" s="10" t="str">
        <x:v>Pass</x:v>
      </x:c>
      <x:c r="G5" s="10" t="str">
        <x:v>Pre-pilot readiness</x:v>
      </x:c>
    </x:row>
    <x:row r="6" ht="34" customHeight="1">
      <x:c r="A6" s="10" t="str">
        <x:v>G3-05</x:v>
      </x:c>
      <x:c r="B6" s="10" t="str">
        <x:v>W17</x:v>
      </x:c>
      <x:c r="C6" s="10" t="str">
        <x:v>Runbook rollback and contacts verified</x:v>
      </x:c>
      <x:c r="D6" s="10" t="str">
        <x:v>Operations Lead</x:v>
      </x:c>
      <x:c r="E6" s="10" t="str">
        <x:v>In review</x:v>
      </x:c>
      <x:c r="F6" s="10" t="str">
        <x:v>Pass</x:v>
      </x:c>
      <x:c r="G6" s="10" t="str">
        <x:v>Service owner assigned</x:v>
      </x:c>
    </x:row>
    <x:row r="7" ht="34" customHeight="1">
      <x:c r="A7" s="10" t="str">
        <x:v>G3-06</x:v>
      </x:c>
      <x:c r="B7" s="10" t="str">
        <x:v>W17</x:v>
      </x:c>
      <x:c r="C7" s="10" t="str">
        <x:v>Sponsor pilot go/no-go signed</x:v>
      </x:c>
      <x:c r="D7" s="10" t="str">
        <x:v>Sponsor</x:v>
      </x:c>
      <x:c r="E7" s="10" t="str">
        <x:v>Not started</x:v>
      </x:c>
      <x:c r="F7" s="10" t="str">
        <x:v>Pass</x:v>
      </x:c>
      <x:c r="G7" s="10" t="str">
        <x:v>DEC-03</x:v>
      </x:c>
    </x:row>
    <x:row r="8" ht="34" customHeight="1">
      <x:c r="A8" s="10" t="str">
        <x:v>G4-01</x:v>
      </x:c>
      <x:c r="B8" s="10" t="str">
        <x:v>W20</x:v>
      </x:c>
      <x:c r="C8" s="10" t="str">
        <x:v>Pilot adoption incidents and data quality reviewed</x:v>
      </x:c>
      <x:c r="D8" s="10" t="str">
        <x:v>Operations Lead</x:v>
      </x:c>
      <x:c r="E8" s="10" t="str">
        <x:v>Not started</x:v>
      </x:c>
      <x:c r="F8" s="10" t="str">
        <x:v>Pass W20</x:v>
      </x:c>
      <x:c r="G8" s="10" t="str">
        <x:v>DEC-04</x:v>
      </x:c>
    </x:row>
    <x:row r="9" ht="34" customHeight="1">
      <x:c r="A9" s="10" t="str">
        <x:v>G5-01</x:v>
      </x:c>
      <x:c r="B9" s="10" t="str">
        <x:v>W24</x:v>
      </x:c>
      <x:c r="C9" s="10" t="str">
        <x:v>Service acceptance and residual risks transferred</x:v>
      </x:c>
      <x:c r="D9" s="10" t="str">
        <x:v>Operations Lead</x:v>
      </x:c>
      <x:c r="E9" s="10" t="str">
        <x:v>Not started</x:v>
      </x:c>
      <x:c r="F9" s="10" t="str">
        <x:v>Pass W24</x:v>
      </x:c>
      <x:c r="G9" s="10" t="str">
        <x:v>Illustrative closeout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5" hidden="0" customWidth="1"/>
    <x:col min="7" max="7" width="25" hidden="0" customWidth="1"/>
  </x:cols>
  <x:sheetData>
    <x:row r="1" ht="32" customHeight="1">
      <x:c r="A1" s="5" t="str">
        <x:v>Benefit_ID</x:v>
      </x:c>
      <x:c r="B1" s="5" t="str">
        <x:v>Metric</x:v>
      </x:c>
      <x:c r="C1" s="5" t="str">
        <x:v>Target</x:v>
      </x:c>
      <x:c r="D1" s="5" t="str">
        <x:v>Simulation_W24_Result</x:v>
      </x:c>
      <x:c r="E1" s="5" t="str">
        <x:v>Measurement_Method</x:v>
      </x:c>
      <x:c r="F1" s="5" t="str">
        <x:v>Owner</x:v>
      </x:c>
      <x:c r="G1" s="5" t="str">
        <x:v>Followup</x:v>
      </x:c>
    </x:row>
    <x:row r="2" ht="34" customHeight="1">
      <x:c r="A2" s="10" t="str">
        <x:v>BEN-01</x:v>
      </x:c>
      <x:c r="B2" s="10" t="str">
        <x:v>Eligible registration completion rate</x:v>
      </x:c>
      <x:c r="C2" s="10" t="str">
        <x:v>&gt;=95%</x:v>
      </x:c>
      <x:c r="D2" s="10" t="str">
        <x:v>97.8%</x:v>
      </x:c>
      <x:c r="E2" s="10" t="str">
        <x:v>Accepted/eligible submissions in sample window</x:v>
      </x:c>
      <x:c r="F2" s="10" t="str">
        <x:v>Business Owner</x:v>
      </x:c>
      <x:c r="G2" s="10" t="str">
        <x:v>30 60 90 days post release</x:v>
      </x:c>
    </x:row>
    <x:row r="3" ht="34" customHeight="1">
      <x:c r="A3" s="10" t="str">
        <x:v>BEN-02</x:v>
      </x:c>
      <x:c r="B3" s="10" t="str">
        <x:v>School staff training completion</x:v>
      </x:c>
      <x:c r="C3" s="10" t="str">
        <x:v>&gt;=90%</x:v>
      </x:c>
      <x:c r="D3" s="10" t="str">
        <x:v>95%</x:v>
      </x:c>
      <x:c r="E3" s="10" t="str">
        <x:v>Completed learning checks / planned attendees</x:v>
      </x:c>
      <x:c r="F3" s="10" t="str">
        <x:v>Change Lead</x:v>
      </x:c>
      <x:c r="G3" s="10" t="str">
        <x:v>At release gate and after launch</x:v>
      </x:c>
    </x:row>
    <x:row r="4" ht="34" customHeight="1">
      <x:c r="A4" s="10" t="str">
        <x:v>BEN-03</x:v>
      </x:c>
      <x:c r="B4" s="10" t="str">
        <x:v>Critical defect exit</x:v>
      </x:c>
      <x:c r="C4" s="10" t="str">
        <x:v>0 open P0/P1</x:v>
      </x:c>
      <x:c r="D4" s="10" t="n">
        <x:v>0</x:v>
      </x:c>
      <x:c r="E4" s="10" t="str">
        <x:v>QA defect report</x:v>
      </x:c>
      <x:c r="F4" s="10" t="str">
        <x:v>QA Lead</x:v>
      </x:c>
      <x:c r="G4" s="10" t="str">
        <x:v>Each release gate</x:v>
      </x:c>
    </x:row>
    <x:row r="5" ht="34" customHeight="1">
      <x:c r="A5" s="10" t="str">
        <x:v>BEN-04</x:v>
      </x:c>
      <x:c r="B5" s="10" t="str">
        <x:v>Spending against cap</x:v>
      </x:c>
      <x:c r="C5" s="10" t="str">
        <x:v>&lt;=240000 CAD</x:v>
      </x:c>
      <x:c r="D5" s="10" t="str">
        <x:v>236000 CAD</x:v>
      </x:c>
      <x:c r="E5" s="10" t="str">
        <x:v>Cost tracker including approved reserve draw</x:v>
      </x:c>
      <x:c r="F5" s="10" t="str">
        <x:v>Sponsor</x:v>
      </x:c>
      <x:c r="G5" s="10" t="str">
        <x:v>Closure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Checkpoint</x:v>
      </x:c>
      <x:c r="B1" s="3" t="str">
        <x:v>Planned</x:v>
      </x:c>
      <x:c r="C1" s="3" t="str">
        <x:v>Passed</x:v>
      </x:c>
      <x:c r="D1" s="3" t="str">
        <x:v>Failed</x:v>
      </x:c>
      <x:c r="E1" s="3" t="str">
        <x:v>Blocked</x:v>
      </x:c>
      <x:c r="F1" s="3" t="str">
        <x:v>Pass_Rate</x:v>
      </x:c>
      <x:c r="G1" s="3" t="str">
        <x:v>P0_P1_Open</x:v>
      </x:c>
    </x:row>
    <x:row r="2">
      <x:c r="A2" t="str">
        <x:v>W16</x:v>
      </x:c>
      <x:c r="B2" t="n">
        <x:v>180</x:v>
      </x:c>
      <x:c r="C2" t="n">
        <x:v>169</x:v>
      </x:c>
      <x:c r="D2" t="n">
        <x:v>5</x:v>
      </x:c>
      <x:c r="E2" t="n">
        <x:v>6</x:v>
      </x:c>
      <x:c r="F2" s="12" t="n">
        <x:f>C2/B2</x:f>
        <x:v>0.9388888888888889</x:v>
      </x:c>
      <x:c r="G2" t="n">
        <x:v>1</x:v>
      </x:c>
    </x:row>
    <x:row r="3">
      <x:c r="A3" t="str">
        <x:v>W17</x:v>
      </x:c>
      <x:c r="B3" t="n">
        <x:v>180</x:v>
      </x:c>
      <x:c r="C3" t="n">
        <x:v>180</x:v>
      </x:c>
      <x:c r="D3" t="n">
        <x:v>0</x:v>
      </x:c>
      <x:c r="E3" t="n">
        <x:v>0</x:v>
      </x:c>
      <x:c r="F3" s="12" t="n">
        <x:f>C3/B3</x:f>
        <x:v>1</x:v>
      </x:c>
      <x:c r="G3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14" t="str">
        <x:v>STUDENT ENROLMENT | PMO DELIVERY CONTROL</x:v>
      </x:c>
      <x:c r="B1" s="14"/>
      <x:c r="C1" s="14"/>
      <x:c r="D1" s="14"/>
      <x:c r="E1" s="14"/>
      <x:c r="F1" s="14"/>
    </x:row>
    <x:row r="2" ht="30" customHeight="1">
      <x:c r="A2" s="14"/>
      <x:c r="B2" s="14"/>
      <x:c r="C2" s="14"/>
      <x:c r="D2" s="14"/>
      <x:c r="E2" s="14"/>
      <x:c r="F2" s="14"/>
    </x:row>
    <x:row r="3" ht="28" customHeight="1">
      <x:c r="A3" s="17" t="str">
        <x:v>MARTINS AJAYI · WORKED CASE STUDY · ALL DATA BELOW ILLUSTRATIVE, NOT HISTORICAL</x:v>
      </x:c>
      <x:c r="B3" s="17"/>
      <x:c r="C3" s="17"/>
      <x:c r="D3" s="17"/>
      <x:c r="E3" s="17"/>
      <x:c r="F3" s="17"/>
    </x:row>
    <x:row r="5">
      <x:c r="A5" s="21" t="str">
        <x:v>CONTROL METRIC</x:v>
      </x:c>
      <x:c r="B5" s="21" t="str">
        <x:v>SCENARIO VALUE</x:v>
      </x:c>
    </x:row>
    <x:row r="6">
      <x:c r="A6" s="27" t="str">
        <x:v>Approved total ceiling (CAD)</x:v>
      </x:c>
      <x:c r="B6" s="33" t="n">
        <x:f>SUM(Budget!C2:C9)</x:f>
        <x:v>240000</x:v>
      </x:c>
    </x:row>
    <x:row r="7">
      <x:c r="A7" s="27" t="str">
        <x:v>Forecast at completion (CAD)</x:v>
      </x:c>
      <x:c r="B7" s="33" t="n">
        <x:f>SUM(Budget!D2:D9)</x:f>
        <x:v>236000</x:v>
      </x:c>
    </x:row>
    <x:row r="8">
      <x:c r="A8" s="27" t="str">
        <x:v>Unspent reserve/headroom (CAD)</x:v>
      </x:c>
      <x:c r="B8" s="33" t="n">
        <x:f>B6-B7</x:f>
        <x:v>4000</x:v>
      </x:c>
    </x:row>
    <x:row r="9">
      <x:c r="A9" s="27" t="str">
        <x:v>W16 UAT pass rate</x:v>
      </x:c>
      <x:c r="B9" s="34" t="n">
        <x:f>UAT_Summary!F2</x:f>
        <x:v>0.9388888888888889</x:v>
      </x:c>
    </x:row>
    <x:row r="10">
      <x:c r="A10" s="27" t="str">
        <x:v>W17 UAT pass rate</x:v>
      </x:c>
      <x:c r="B10" s="34" t="n">
        <x:f>UAT_Summary!F3</x:f>
        <x:v>1</x:v>
      </x:c>
    </x:row>
    <x:row r="11">
      <x:c r="A11" s="27" t="str">
        <x:v>W16 open critical defects</x:v>
      </x:c>
      <x:c r="B11" s="35" t="n">
        <x:f>UAT_Summary!G2</x:f>
        <x:v>1</x:v>
      </x:c>
    </x:row>
    <x:row r="12">
      <x:c r="A12" s="27" t="str">
        <x:v>W17 open critical defects</x:v>
      </x:c>
      <x:c r="B12" s="35" t="n">
        <x:f>UAT_Summary!G3</x:f>
        <x:v>0</x:v>
      </x:c>
    </x:row>
    <x:row r="13">
      <x:c r="A13" s="27" t="str">
        <x:v>Pilot week</x:v>
      </x:c>
      <x:c r="B13" s="35" t="n">
        <x:f>Milestones!D6</x:f>
        <x:v>18</x:v>
      </x:c>
    </x:row>
    <x:row r="14">
      <x:c r="A14" s="27" t="str">
        <x:v>Expanded rollout week</x:v>
      </x:c>
      <x:c r="B14" s="35" t="n">
        <x:f>Milestones!D8</x:f>
        <x:v>21</x:v>
      </x:c>
    </x:row>
    <x:row r="17" ht="27" customHeight="1">
      <x:c r="A17" s="43" t="str">
        <x:v>W16 GOVERNANCE EXCEPTION: Amber due to import duplicate issue I-01 (P1).</x:v>
      </x:c>
      <x:c r="B17" s="43"/>
      <x:c r="C17" s="43"/>
      <x:c r="D17" s="43"/>
      <x:c r="E17" s="43"/>
      <x:c r="F17" s="43"/>
    </x:row>
    <x:row r="18" ht="27" customHeight="1">
      <x:c r="A18" s="43" t="str">
        <x:v>CHG-01/DEC-02: Approve CAD 8,000 reserve draw; no release without passed W17 gate.</x:v>
      </x:c>
      <x:c r="B18" s="43"/>
      <x:c r="C18" s="43"/>
      <x:c r="D18" s="43"/>
      <x:c r="E18" s="43"/>
      <x:c r="F18" s="43"/>
    </x:row>
    <x:row r="20" ht="26" customHeight="1">
      <x:c r="A20" s="48" t="str">
        <x:v>NOTICE: All volumes, schedules, finances, test outcomes and approvals are reconstructed illustrative data. No employers or client organizations are disclosed.</x:v>
      </x:c>
      <x:c r="B20" s="48"/>
      <x:c r="C20" s="48"/>
      <x:c r="D20" s="48"/>
      <x:c r="E20" s="48"/>
      <x:c r="F20" s="48"/>
    </x:row>
    <x:row r="21" ht="26" customHeight="1">
      <x:c r="A21" s="48"/>
      <x:c r="B21" s="48"/>
      <x:c r="C21" s="48"/>
      <x:c r="D21" s="48"/>
      <x:c r="E21" s="48"/>
      <x:c r="F21" s="48"/>
    </x:row>
  </x:sheetData>
  <x:mergeCells>
    <x:mergeCell ref="A1:F2"/>
    <x:mergeCell ref="A3:F3"/>
    <x:mergeCell ref="A17:F17"/>
    <x:mergeCell ref="A18:F18"/>
    <x:mergeCell ref="A20:F21"/>
  </x:mergeCells>
  <x:pageMargins left="0.7" right="0.7" top="0.75" bottom="0.75" header="0.3" footer="0.3"/>
  <x:drawing xmlns:r="http://schemas.openxmlformats.org/officeDocument/2006/relationships" r:id="R1e6a50ddce874449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9" customHeight="1">
      <x:c r="A1" s="3" t="str">
        <x:v>Story_ID</x:v>
      </x:c>
      <x:c r="B1" s="3" t="str">
        <x:v>Requirement</x:v>
      </x:c>
      <x:c r="C1" s="3" t="str">
        <x:v>Priority</x:v>
      </x:c>
      <x:c r="D1" s="3" t="str">
        <x:v>Iteration_Example</x:v>
      </x:c>
      <x:c r="E1" s="3" t="str">
        <x:v>Story_or_Feature</x:v>
      </x:c>
      <x:c r="F1" s="3" t="str">
        <x:v>Acceptance_Evidence</x:v>
      </x:c>
      <x:c r="G1" s="3" t="str">
        <x:v>Scenario_Demo_Status</x:v>
      </x:c>
      <x:c r="H1" s="3" t="str">
        <x:v>Owner</x:v>
      </x:c>
    </x:row>
    <x:row r="2" ht="40" customHeight="1">
      <x:c r="A2" s="10" t="str">
        <x:v>ST-01</x:v>
      </x:c>
      <x:c r="B2" s="10" t="str">
        <x:v>REQ-02</x:v>
      </x:c>
      <x:c r="C2" s="10" t="str">
        <x:v>Must</x:v>
      </x:c>
      <x:c r="D2" s="10" t="str">
        <x:v>W8-W10</x:v>
      </x:c>
      <x:c r="E2" s="10" t="str">
        <x:v>Candidate registration entry</x:v>
      </x:c>
      <x:c r="F2" s="10" t="str">
        <x:v>Negative mandatory-field validation</x:v>
      </x:c>
      <x:c r="G2" s="10" t="str">
        <x:v>Accepted for integration</x:v>
      </x:c>
      <x:c r="H2" s="10" t="str">
        <x:v>Delivery Lead</x:v>
      </x:c>
    </x:row>
    <x:row r="3" ht="40" customHeight="1">
      <x:c r="A3" s="10" t="str">
        <x:v>ST-02</x:v>
      </x:c>
      <x:c r="B3" s="10" t="str">
        <x:v>REQ-03</x:v>
      </x:c>
      <x:c r="C3" s="10" t="str">
        <x:v>Must</x:v>
      </x:c>
      <x:c r="D3" s="10" t="str">
        <x:v>W8-W10</x:v>
      </x:c>
      <x:c r="E3" s="10" t="str">
        <x:v>Examination selection rules</x:v>
      </x:c>
      <x:c r="F3" s="10" t="str">
        <x:v>Eligible exam choice tests</x:v>
      </x:c>
      <x:c r="G3" s="10" t="str">
        <x:v>Accepted with copy edit</x:v>
      </x:c>
      <x:c r="H3" s="10" t="str">
        <x:v>Business Owner</x:v>
      </x:c>
    </x:row>
    <x:row r="4" ht="40" customHeight="1">
      <x:c r="A4" s="10" t="str">
        <x:v>ST-03</x:v>
      </x:c>
      <x:c r="B4" s="10" t="str">
        <x:v>REQ-05</x:v>
      </x:c>
      <x:c r="C4" s="10" t="str">
        <x:v>Must</x:v>
      </x:c>
      <x:c r="D4" s="10" t="str">
        <x:v>W8-W10</x:v>
      </x:c>
      <x:c r="E4" s="10" t="str">
        <x:v>Confirmation references</x:v>
      </x:c>
      <x:c r="F4" s="10" t="str">
        <x:v>Repeatable confirmation ID</x:v>
      </x:c>
      <x:c r="G4" s="10" t="str">
        <x:v>Accepted for integration</x:v>
      </x:c>
      <x:c r="H4" s="10" t="str">
        <x:v>QA Lead</x:v>
      </x:c>
    </x:row>
    <x:row r="5" ht="40" customHeight="1">
      <x:c r="A5" s="10" t="str">
        <x:v>ST-04</x:v>
      </x:c>
      <x:c r="B5" s="10" t="str">
        <x:v>REQ-04</x:v>
      </x:c>
      <x:c r="C5" s="10" t="str">
        <x:v>Must</x:v>
      </x:c>
      <x:c r="D5" s="10" t="str">
        <x:v>W8-W10</x:v>
      </x:c>
      <x:c r="E5" s="10" t="str">
        <x:v>Duplicate record guardrails</x:v>
      </x:c>
      <x:c r="F5" s="10" t="str">
        <x:v>Manual and bulk import duplicate tests</x:v>
      </x:c>
      <x:c r="G5" s="10" t="str">
        <x:v>Additional regression required</x:v>
      </x:c>
      <x:c r="H5" s="10" t="str">
        <x:v>Data Lead</x:v>
      </x:c>
    </x:row>
    <x:row r="6" ht="40" customHeight="1">
      <x:c r="A6" s="10" t="str">
        <x:v>ST-05</x:v>
      </x:c>
      <x:c r="B6" s="10" t="str">
        <x:v>REQ-06</x:v>
      </x:c>
      <x:c r="C6" s="10" t="str">
        <x:v>Must</x:v>
      </x:c>
      <x:c r="D6" s="10" t="str">
        <x:v>W11-W13</x:v>
      </x:c>
      <x:c r="E6" s="10" t="str">
        <x:v>Role-based access audit</x:v>
      </x:c>
      <x:c r="F6" s="10" t="str">
        <x:v>Negative access test and audit proof</x:v>
      </x:c>
      <x:c r="G6" s="10" t="str">
        <x:v>Build complete</x:v>
      </x:c>
      <x:c r="H6" s="10" t="str">
        <x:v>Technical Lead</x:v>
      </x:c>
    </x:row>
  </x:sheetData>
  <x:pageMargins left="0.7" right="0.7" top="0.75" bottom="0.75" header="0.3" footer="0.3"/>
</x:worksheet>
</file>